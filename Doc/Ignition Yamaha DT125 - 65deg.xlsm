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360" yWindow="120" windowWidth="21840" windowHeight="13170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P6" i="1" l="1"/>
  <c r="P7" i="1"/>
  <c r="P8" i="1"/>
  <c r="P9" i="1"/>
  <c r="P10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7" i="1"/>
  <c r="P28" i="1"/>
  <c r="P29" i="1"/>
  <c r="P30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M33" i="1" l="1"/>
  <c r="N33" i="1" s="1"/>
  <c r="O33" i="1" s="1"/>
  <c r="M32" i="1"/>
  <c r="N32" i="1" s="1"/>
  <c r="O32" i="1" s="1"/>
  <c r="M31" i="1"/>
  <c r="M30" i="1"/>
  <c r="N30" i="1" s="1"/>
  <c r="O30" i="1" s="1"/>
  <c r="M29" i="1"/>
  <c r="N29" i="1" s="1"/>
  <c r="O29" i="1" s="1"/>
  <c r="M28" i="1"/>
  <c r="N28" i="1" s="1"/>
  <c r="O28" i="1" s="1"/>
  <c r="M27" i="1"/>
  <c r="N27" i="1" s="1"/>
  <c r="O27" i="1" s="1"/>
  <c r="M26" i="1"/>
  <c r="M25" i="1"/>
  <c r="N25" i="1" s="1"/>
  <c r="O25" i="1" s="1"/>
  <c r="L25" i="1"/>
  <c r="L27" i="1"/>
  <c r="L29" i="1"/>
  <c r="L30" i="1"/>
  <c r="L33" i="1"/>
  <c r="F24" i="1"/>
  <c r="F25" i="1"/>
  <c r="G25" i="1" s="1"/>
  <c r="F26" i="1"/>
  <c r="L26" i="1" s="1"/>
  <c r="N26" i="1" s="1"/>
  <c r="O26" i="1" s="1"/>
  <c r="F27" i="1"/>
  <c r="G27" i="1" s="1"/>
  <c r="F28" i="1"/>
  <c r="G28" i="1" s="1"/>
  <c r="F29" i="1"/>
  <c r="G29" i="1" s="1"/>
  <c r="F30" i="1"/>
  <c r="G30" i="1" s="1"/>
  <c r="F31" i="1"/>
  <c r="F32" i="1"/>
  <c r="G32" i="1" s="1"/>
  <c r="F33" i="1"/>
  <c r="G33" i="1" s="1"/>
  <c r="G26" i="1" l="1"/>
  <c r="P26" i="1"/>
  <c r="G31" i="1"/>
  <c r="P31" i="1"/>
  <c r="L31" i="1"/>
  <c r="N31" i="1" s="1"/>
  <c r="O31" i="1" s="1"/>
  <c r="L32" i="1"/>
  <c r="L28" i="1"/>
  <c r="M60" i="1"/>
  <c r="N60" i="1" s="1"/>
  <c r="O60" i="1" s="1"/>
  <c r="M56" i="1"/>
  <c r="N56" i="1" s="1"/>
  <c r="O56" i="1" s="1"/>
  <c r="M54" i="1"/>
  <c r="N54" i="1" s="1"/>
  <c r="O54" i="1" s="1"/>
  <c r="M51" i="1"/>
  <c r="N51" i="1" s="1"/>
  <c r="O51" i="1" s="1"/>
  <c r="M49" i="1"/>
  <c r="N49" i="1" s="1"/>
  <c r="O49" i="1" s="1"/>
  <c r="M47" i="1"/>
  <c r="N47" i="1" s="1"/>
  <c r="O47" i="1" s="1"/>
  <c r="M45" i="1"/>
  <c r="N45" i="1" s="1"/>
  <c r="O45" i="1" s="1"/>
  <c r="M43" i="1"/>
  <c r="N43" i="1" s="1"/>
  <c r="O43" i="1" s="1"/>
  <c r="M41" i="1"/>
  <c r="N41" i="1" s="1"/>
  <c r="O41" i="1" s="1"/>
  <c r="M40" i="1"/>
  <c r="N40" i="1" s="1"/>
  <c r="O40" i="1" s="1"/>
  <c r="F60" i="1"/>
  <c r="G60" i="1" s="1"/>
  <c r="F56" i="1"/>
  <c r="G56" i="1" s="1"/>
  <c r="F54" i="1"/>
  <c r="G54" i="1" s="1"/>
  <c r="F51" i="1"/>
  <c r="G51" i="1" s="1"/>
  <c r="F49" i="1"/>
  <c r="G49" i="1" s="1"/>
  <c r="F47" i="1"/>
  <c r="G47" i="1" s="1"/>
  <c r="F45" i="1"/>
  <c r="G45" i="1" s="1"/>
  <c r="F43" i="1"/>
  <c r="G43" i="1" s="1"/>
  <c r="F41" i="1"/>
  <c r="G41" i="1" s="1"/>
  <c r="F40" i="1"/>
  <c r="G40" i="1" s="1"/>
  <c r="M38" i="1"/>
  <c r="N38" i="1" s="1"/>
  <c r="O38" i="1" s="1"/>
  <c r="M37" i="1"/>
  <c r="N37" i="1" s="1"/>
  <c r="O37" i="1" s="1"/>
  <c r="F38" i="1"/>
  <c r="G38" i="1" s="1"/>
  <c r="F37" i="1"/>
  <c r="G37" i="1" s="1"/>
  <c r="M35" i="1"/>
  <c r="N35" i="1" s="1"/>
  <c r="O35" i="1" s="1"/>
  <c r="F35" i="1"/>
  <c r="G35" i="1" s="1"/>
  <c r="L56" i="1" l="1"/>
  <c r="L60" i="1"/>
  <c r="L54" i="1"/>
  <c r="L51" i="1"/>
  <c r="L49" i="1"/>
  <c r="L47" i="1"/>
  <c r="L45" i="1"/>
  <c r="L43" i="1"/>
  <c r="L41" i="1"/>
  <c r="L40" i="1"/>
  <c r="L38" i="1"/>
  <c r="L37" i="1"/>
  <c r="L35" i="1"/>
  <c r="F2" i="1"/>
  <c r="G2" i="1" l="1"/>
  <c r="P2" i="1"/>
  <c r="M70" i="1"/>
  <c r="N70" i="1" s="1"/>
  <c r="O70" i="1" s="1"/>
  <c r="M69" i="1"/>
  <c r="N69" i="1" s="1"/>
  <c r="O69" i="1" s="1"/>
  <c r="M68" i="1"/>
  <c r="N68" i="1" s="1"/>
  <c r="O68" i="1" s="1"/>
  <c r="M66" i="1"/>
  <c r="N66" i="1" s="1"/>
  <c r="O66" i="1" s="1"/>
  <c r="M67" i="1"/>
  <c r="N67" i="1" s="1"/>
  <c r="O67" i="1" s="1"/>
  <c r="M65" i="1"/>
  <c r="N65" i="1" s="1"/>
  <c r="O65" i="1" s="1"/>
  <c r="M64" i="1"/>
  <c r="N64" i="1" s="1"/>
  <c r="O64" i="1" s="1"/>
  <c r="M63" i="1"/>
  <c r="N63" i="1" s="1"/>
  <c r="O63" i="1" s="1"/>
  <c r="M62" i="1"/>
  <c r="N62" i="1" s="1"/>
  <c r="O62" i="1" s="1"/>
  <c r="M61" i="1"/>
  <c r="N61" i="1" s="1"/>
  <c r="O61" i="1" s="1"/>
  <c r="M59" i="1"/>
  <c r="N59" i="1" s="1"/>
  <c r="O59" i="1" s="1"/>
  <c r="M58" i="1"/>
  <c r="N58" i="1" s="1"/>
  <c r="O58" i="1" s="1"/>
  <c r="M57" i="1"/>
  <c r="N57" i="1" s="1"/>
  <c r="O57" i="1" s="1"/>
  <c r="M55" i="1"/>
  <c r="N55" i="1" s="1"/>
  <c r="O55" i="1" s="1"/>
  <c r="M53" i="1"/>
  <c r="N53" i="1" s="1"/>
  <c r="O53" i="1" s="1"/>
  <c r="M52" i="1"/>
  <c r="N52" i="1" s="1"/>
  <c r="O52" i="1" s="1"/>
  <c r="M50" i="1"/>
  <c r="N50" i="1" s="1"/>
  <c r="O50" i="1" s="1"/>
  <c r="M48" i="1"/>
  <c r="N48" i="1" s="1"/>
  <c r="O48" i="1" s="1"/>
  <c r="M46" i="1"/>
  <c r="N46" i="1" s="1"/>
  <c r="O46" i="1" s="1"/>
  <c r="M44" i="1"/>
  <c r="N44" i="1" s="1"/>
  <c r="O44" i="1" s="1"/>
  <c r="M42" i="1"/>
  <c r="N42" i="1" s="1"/>
  <c r="O42" i="1" s="1"/>
  <c r="M39" i="1"/>
  <c r="N39" i="1" s="1"/>
  <c r="O39" i="1" s="1"/>
  <c r="M36" i="1"/>
  <c r="N36" i="1" s="1"/>
  <c r="O36" i="1" s="1"/>
  <c r="M34" i="1"/>
  <c r="N34" i="1" s="1"/>
  <c r="O34" i="1" s="1"/>
  <c r="M24" i="1"/>
  <c r="N24" i="1" s="1"/>
  <c r="O24" i="1" s="1"/>
  <c r="M23" i="1"/>
  <c r="N23" i="1" s="1"/>
  <c r="O23" i="1" s="1"/>
  <c r="M22" i="1"/>
  <c r="N22" i="1" s="1"/>
  <c r="O22" i="1" s="1"/>
  <c r="M21" i="1"/>
  <c r="N21" i="1" s="1"/>
  <c r="O21" i="1" s="1"/>
  <c r="M20" i="1"/>
  <c r="N20" i="1" s="1"/>
  <c r="O20" i="1" s="1"/>
  <c r="M19" i="1"/>
  <c r="N19" i="1" s="1"/>
  <c r="O19" i="1" s="1"/>
  <c r="M18" i="1"/>
  <c r="N18" i="1" s="1"/>
  <c r="O18" i="1" s="1"/>
  <c r="M17" i="1"/>
  <c r="N17" i="1" s="1"/>
  <c r="O17" i="1" s="1"/>
  <c r="M16" i="1"/>
  <c r="N16" i="1" s="1"/>
  <c r="O16" i="1" s="1"/>
  <c r="M15" i="1"/>
  <c r="N15" i="1" s="1"/>
  <c r="O15" i="1" s="1"/>
  <c r="M14" i="1"/>
  <c r="N14" i="1" s="1"/>
  <c r="O14" i="1" s="1"/>
  <c r="M13" i="1"/>
  <c r="N13" i="1" s="1"/>
  <c r="O13" i="1" s="1"/>
  <c r="M12" i="1"/>
  <c r="N12" i="1" s="1"/>
  <c r="O12" i="1" s="1"/>
  <c r="M11" i="1"/>
  <c r="M10" i="1"/>
  <c r="N10" i="1" s="1"/>
  <c r="O10" i="1" s="1"/>
  <c r="M9" i="1"/>
  <c r="N9" i="1" s="1"/>
  <c r="O9" i="1" s="1"/>
  <c r="M8" i="1"/>
  <c r="N8" i="1" s="1"/>
  <c r="O8" i="1" s="1"/>
  <c r="M7" i="1"/>
  <c r="N7" i="1" s="1"/>
  <c r="O7" i="1" s="1"/>
  <c r="M6" i="1"/>
  <c r="N6" i="1" s="1"/>
  <c r="O6" i="1" s="1"/>
  <c r="M5" i="1"/>
  <c r="N5" i="1" s="1"/>
  <c r="O5" i="1" s="1"/>
  <c r="M4" i="1"/>
  <c r="N4" i="1" s="1"/>
  <c r="O4" i="1" s="1"/>
  <c r="M3" i="1"/>
  <c r="N3" i="1" s="1"/>
  <c r="O3" i="1" s="1"/>
  <c r="M2" i="1"/>
  <c r="N2" i="1" s="1"/>
  <c r="O2" i="1" s="1"/>
  <c r="F70" i="1" l="1"/>
  <c r="F69" i="1"/>
  <c r="F68" i="1"/>
  <c r="F67" i="1"/>
  <c r="F66" i="1"/>
  <c r="C4" i="1"/>
  <c r="F7" i="1"/>
  <c r="G7" i="1" s="1"/>
  <c r="F9" i="1"/>
  <c r="G9" i="1" s="1"/>
  <c r="F15" i="1"/>
  <c r="G15" i="1" s="1"/>
  <c r="F17" i="1"/>
  <c r="G17" i="1" s="1"/>
  <c r="F23" i="1"/>
  <c r="G23" i="1" s="1"/>
  <c r="F46" i="1"/>
  <c r="F50" i="1"/>
  <c r="F59" i="1"/>
  <c r="F62" i="1"/>
  <c r="F4" i="1"/>
  <c r="F5" i="1"/>
  <c r="F6" i="1"/>
  <c r="G6" i="1" s="1"/>
  <c r="F8" i="1"/>
  <c r="G8" i="1" s="1"/>
  <c r="F10" i="1"/>
  <c r="G10" i="1" s="1"/>
  <c r="F11" i="1"/>
  <c r="F12" i="1"/>
  <c r="F13" i="1"/>
  <c r="G13" i="1" s="1"/>
  <c r="F14" i="1"/>
  <c r="G14" i="1" s="1"/>
  <c r="F16" i="1"/>
  <c r="G16" i="1" s="1"/>
  <c r="F18" i="1"/>
  <c r="G18" i="1" s="1"/>
  <c r="F19" i="1"/>
  <c r="G19" i="1" s="1"/>
  <c r="F20" i="1"/>
  <c r="G20" i="1" s="1"/>
  <c r="F21" i="1"/>
  <c r="G21" i="1" s="1"/>
  <c r="F22" i="1"/>
  <c r="G22" i="1" s="1"/>
  <c r="G24" i="1"/>
  <c r="F34" i="1"/>
  <c r="G34" i="1" s="1"/>
  <c r="F36" i="1"/>
  <c r="G36" i="1" s="1"/>
  <c r="F39" i="1"/>
  <c r="G39" i="1" s="1"/>
  <c r="F42" i="1"/>
  <c r="G42" i="1" s="1"/>
  <c r="F44" i="1"/>
  <c r="G44" i="1" s="1"/>
  <c r="F48" i="1"/>
  <c r="F52" i="1"/>
  <c r="F53" i="1"/>
  <c r="F55" i="1"/>
  <c r="F57" i="1"/>
  <c r="F58" i="1"/>
  <c r="F61" i="1"/>
  <c r="F63" i="1"/>
  <c r="F64" i="1"/>
  <c r="F65" i="1"/>
  <c r="L65" i="1" s="1"/>
  <c r="L2" i="1"/>
  <c r="F3" i="1"/>
  <c r="C3" i="1"/>
  <c r="C2" i="1"/>
  <c r="G3" i="1" l="1"/>
  <c r="P3" i="1"/>
  <c r="G4" i="1"/>
  <c r="P4" i="1"/>
  <c r="G5" i="1"/>
  <c r="P5" i="1"/>
  <c r="G11" i="1"/>
  <c r="P11" i="1"/>
  <c r="G12" i="1"/>
  <c r="P12" i="1"/>
  <c r="G64" i="1"/>
  <c r="L64" i="1"/>
  <c r="G57" i="1"/>
  <c r="L57" i="1"/>
  <c r="G48" i="1"/>
  <c r="L48" i="1"/>
  <c r="G50" i="1"/>
  <c r="L50" i="1"/>
  <c r="G63" i="1"/>
  <c r="L63" i="1"/>
  <c r="G55" i="1"/>
  <c r="L55" i="1"/>
  <c r="G46" i="1"/>
  <c r="L46" i="1"/>
  <c r="G61" i="1"/>
  <c r="L61" i="1"/>
  <c r="G53" i="1"/>
  <c r="L53" i="1"/>
  <c r="G62" i="1"/>
  <c r="L62" i="1"/>
  <c r="G58" i="1"/>
  <c r="L58" i="1"/>
  <c r="G52" i="1"/>
  <c r="L52" i="1"/>
  <c r="G59" i="1"/>
  <c r="L59" i="1"/>
  <c r="G65" i="1"/>
  <c r="H33" i="1" s="1"/>
  <c r="L23" i="1"/>
  <c r="G67" i="1"/>
  <c r="L15" i="1"/>
  <c r="G68" i="1"/>
  <c r="L7" i="1"/>
  <c r="G69" i="1"/>
  <c r="G66" i="1"/>
  <c r="G70" i="1"/>
  <c r="L3" i="1"/>
  <c r="L11" i="1"/>
  <c r="N11" i="1" s="1"/>
  <c r="O11" i="1" s="1"/>
  <c r="L44" i="1"/>
  <c r="L34" i="1"/>
  <c r="L22" i="1"/>
  <c r="L18" i="1"/>
  <c r="L14" i="1"/>
  <c r="L10" i="1"/>
  <c r="L6" i="1"/>
  <c r="L42" i="1"/>
  <c r="L17" i="1"/>
  <c r="L9" i="1"/>
  <c r="L21" i="1"/>
  <c r="L13" i="1"/>
  <c r="L5" i="1"/>
  <c r="L39" i="1"/>
  <c r="L24" i="1"/>
  <c r="L20" i="1"/>
  <c r="L16" i="1"/>
  <c r="L12" i="1"/>
  <c r="L8" i="1"/>
  <c r="L4" i="1"/>
  <c r="L36" i="1"/>
  <c r="L19" i="1"/>
  <c r="H42" i="1" l="1"/>
  <c r="I42" i="1" s="1"/>
  <c r="J42" i="1" s="1"/>
  <c r="H31" i="1"/>
  <c r="I31" i="1" s="1"/>
  <c r="H26" i="1"/>
  <c r="I26" i="1" s="1"/>
  <c r="H30" i="1"/>
  <c r="I30" i="1" s="1"/>
  <c r="H25" i="1"/>
  <c r="I25" i="1" s="1"/>
  <c r="H29" i="1"/>
  <c r="I29" i="1" s="1"/>
  <c r="H28" i="1"/>
  <c r="I28" i="1" s="1"/>
  <c r="H32" i="1"/>
  <c r="I32" i="1" s="1"/>
  <c r="H27" i="1"/>
  <c r="I27" i="1" s="1"/>
  <c r="H35" i="1"/>
  <c r="I35" i="1" s="1"/>
  <c r="J35" i="1" s="1"/>
  <c r="H34" i="1"/>
  <c r="H50" i="1"/>
  <c r="I50" i="1" s="1"/>
  <c r="J50" i="1" s="1"/>
  <c r="H64" i="1"/>
  <c r="I64" i="1" s="1"/>
  <c r="J64" i="1" s="1"/>
  <c r="H46" i="1"/>
  <c r="I46" i="1" s="1"/>
  <c r="J46" i="1" s="1"/>
  <c r="H66" i="1"/>
  <c r="I66" i="1" s="1"/>
  <c r="H20" i="1"/>
  <c r="I20" i="1" s="1"/>
  <c r="H68" i="1"/>
  <c r="I68" i="1" s="1"/>
  <c r="H54" i="1"/>
  <c r="I54" i="1" s="1"/>
  <c r="J54" i="1" s="1"/>
  <c r="H45" i="1"/>
  <c r="I45" i="1" s="1"/>
  <c r="J45" i="1" s="1"/>
  <c r="H60" i="1"/>
  <c r="I60" i="1" s="1"/>
  <c r="J60" i="1" s="1"/>
  <c r="H49" i="1"/>
  <c r="I49" i="1" s="1"/>
  <c r="J49" i="1" s="1"/>
  <c r="H56" i="1"/>
  <c r="I56" i="1" s="1"/>
  <c r="J56" i="1" s="1"/>
  <c r="H51" i="1"/>
  <c r="I51" i="1" s="1"/>
  <c r="J51" i="1" s="1"/>
  <c r="H47" i="1"/>
  <c r="I47" i="1" s="1"/>
  <c r="J47" i="1" s="1"/>
  <c r="H48" i="1"/>
  <c r="I48" i="1" s="1"/>
  <c r="J48" i="1" s="1"/>
  <c r="H70" i="1"/>
  <c r="I70" i="1" s="1"/>
  <c r="H69" i="1"/>
  <c r="I69" i="1" s="1"/>
  <c r="H3" i="1"/>
  <c r="I3" i="1" s="1"/>
  <c r="H21" i="1"/>
  <c r="I21" i="1" s="1"/>
  <c r="H7" i="1"/>
  <c r="I7" i="1" s="1"/>
  <c r="H12" i="1"/>
  <c r="I12" i="1" s="1"/>
  <c r="H55" i="1"/>
  <c r="I55" i="1" s="1"/>
  <c r="J55" i="1" s="1"/>
  <c r="H8" i="1"/>
  <c r="I8" i="1" s="1"/>
  <c r="H67" i="1"/>
  <c r="I67" i="1" s="1"/>
  <c r="H58" i="1"/>
  <c r="I58" i="1" s="1"/>
  <c r="J58" i="1" s="1"/>
  <c r="H38" i="1"/>
  <c r="I38" i="1" s="1"/>
  <c r="J38" i="1" s="1"/>
  <c r="H43" i="1"/>
  <c r="I43" i="1" s="1"/>
  <c r="J43" i="1" s="1"/>
  <c r="H41" i="1"/>
  <c r="I41" i="1" s="1"/>
  <c r="J41" i="1" s="1"/>
  <c r="H37" i="1"/>
  <c r="H40" i="1"/>
  <c r="I40" i="1" s="1"/>
  <c r="J40" i="1" s="1"/>
  <c r="I33" i="1"/>
  <c r="H61" i="1"/>
  <c r="I61" i="1" s="1"/>
  <c r="J61" i="1" s="1"/>
  <c r="H22" i="1"/>
  <c r="I22" i="1" s="1"/>
  <c r="H19" i="1"/>
  <c r="I19" i="1" s="1"/>
  <c r="H10" i="1"/>
  <c r="I10" i="1" s="1"/>
  <c r="H11" i="1"/>
  <c r="I11" i="1" s="1"/>
  <c r="H59" i="1"/>
  <c r="I59" i="1" s="1"/>
  <c r="J59" i="1" s="1"/>
  <c r="H65" i="1"/>
  <c r="I65" i="1" s="1"/>
  <c r="J65" i="1" s="1"/>
  <c r="H2" i="1"/>
  <c r="I2" i="1" s="1"/>
  <c r="H9" i="1"/>
  <c r="I9" i="1" s="1"/>
  <c r="H13" i="1"/>
  <c r="I13" i="1" s="1"/>
  <c r="H53" i="1"/>
  <c r="I53" i="1" s="1"/>
  <c r="J53" i="1" s="1"/>
  <c r="H4" i="1"/>
  <c r="I4" i="1" s="1"/>
  <c r="H44" i="1"/>
  <c r="I44" i="1" s="1"/>
  <c r="J44" i="1" s="1"/>
  <c r="H17" i="1"/>
  <c r="I17" i="1" s="1"/>
  <c r="H16" i="1"/>
  <c r="I16" i="1" s="1"/>
  <c r="H57" i="1"/>
  <c r="I57" i="1" s="1"/>
  <c r="J57" i="1" s="1"/>
  <c r="H6" i="1"/>
  <c r="I6" i="1" s="1"/>
  <c r="H52" i="1"/>
  <c r="I52" i="1" s="1"/>
  <c r="J52" i="1" s="1"/>
  <c r="H39" i="1"/>
  <c r="H62" i="1"/>
  <c r="I62" i="1" s="1"/>
  <c r="J62" i="1" s="1"/>
  <c r="H24" i="1"/>
  <c r="I24" i="1" s="1"/>
  <c r="H15" i="1"/>
  <c r="I15" i="1" s="1"/>
  <c r="H14" i="1"/>
  <c r="I14" i="1" s="1"/>
  <c r="H63" i="1"/>
  <c r="I63" i="1" s="1"/>
  <c r="J63" i="1" s="1"/>
  <c r="H5" i="1"/>
  <c r="I5" i="1" s="1"/>
  <c r="H36" i="1"/>
  <c r="H23" i="1"/>
  <c r="I23" i="1" s="1"/>
  <c r="H18" i="1"/>
  <c r="I18" i="1" s="1"/>
  <c r="I37" i="1" l="1"/>
  <c r="J37" i="1" s="1"/>
  <c r="I36" i="1"/>
  <c r="J36" i="1" s="1"/>
  <c r="I39" i="1"/>
  <c r="J39" i="1" s="1"/>
  <c r="I34" i="1"/>
  <c r="J34" i="1" s="1"/>
</calcChain>
</file>

<file path=xl/comments1.xml><?xml version="1.0" encoding="utf-8"?>
<comments xmlns="http://schemas.openxmlformats.org/spreadsheetml/2006/main">
  <authors>
    <author>Пользователь Windows</author>
  </authors>
  <commentList>
    <comment ref="O1" authorId="0">
      <text>
        <r>
          <rPr>
            <b/>
            <sz val="10"/>
            <color indexed="81"/>
            <rFont val="Tahoma"/>
            <family val="2"/>
            <charset val="204"/>
          </rPr>
          <t xml:space="preserve"> = 65536 - Delay + Comp;
где: Comp -компенсация времени выполнения программы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" authorId="0">
      <text>
        <r>
          <rPr>
            <b/>
            <sz val="10"/>
            <color indexed="81"/>
            <rFont val="Tahoma"/>
            <family val="2"/>
            <charset val="204"/>
          </rPr>
          <t>Угол опрержения для "First" в градусах от ВМТ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" authorId="0">
      <text>
        <r>
          <rPr>
            <b/>
            <sz val="10"/>
            <color indexed="81"/>
            <rFont val="Tahoma"/>
            <family val="2"/>
            <charset val="204"/>
          </rPr>
          <t>Константа = 1 градус окружности в %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<sst xmlns="http://schemas.openxmlformats.org/spreadsheetml/2006/main" count="19" uniqueCount="19">
  <si>
    <t>deg</t>
  </si>
  <si>
    <t>%</t>
  </si>
  <si>
    <t>Second pulse</t>
  </si>
  <si>
    <t>First pulse</t>
  </si>
  <si>
    <t>High</t>
  </si>
  <si>
    <t>One (deg / %)</t>
  </si>
  <si>
    <t>One (deg / mks)</t>
  </si>
  <si>
    <t>RPM (r/min)</t>
  </si>
  <si>
    <t xml:space="preserve">Duration (mks) </t>
  </si>
  <si>
    <t>-duration (for_10750)</t>
  </si>
  <si>
    <t>IgnitionOut = First - Ignition</t>
  </si>
  <si>
    <t>Ignition (deg) from datasheet</t>
  </si>
  <si>
    <t>Low/8</t>
  </si>
  <si>
    <t xml:space="preserve">Delay Ignition (mks) </t>
  </si>
  <si>
    <t>Duration / 16 (TMR0/16)</t>
  </si>
  <si>
    <t>TMR1 1:1          (65536 - delay)</t>
  </si>
  <si>
    <t>[addr]</t>
  </si>
  <si>
    <t>Frequency</t>
  </si>
  <si>
    <t>64726,64704,64687,64681,64676,64681,64684,64674,64665,64668,64669,64661,64652,64630,64622,64614,64596,64594,64583,64569,64555,64541,64526,64511,64501,64492,64483,64468,64456,64446,64422,64400,64350,63891,63348,62707,62174,61577,61237,60334,59977,59522,59172,58370,58022,57620,57000,56252,55912,55522,54974,54337,53832,53478,52887,52232,51735,51232,50655,50417,49839,49568,49284,48600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</si>
</sst>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0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49" fontId="0" fillId="6" borderId="1" xfId="0" applyNumberFormat="1" applyFill="1" applyBorder="1" applyAlignment="1">
      <alignment horizontal="center" vertical="center" wrapText="1"/>
    </xf>
    <xf numFmtId="164" fontId="0" fillId="8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1" fontId="1" fillId="9" borderId="0" xfId="1" applyNumberFormat="1" applyFill="1" applyAlignment="1">
      <alignment horizontal="center"/>
    </xf>
    <xf numFmtId="1" fontId="2" fillId="8" borderId="0" xfId="2" applyNumberFormat="1" applyFill="1" applyAlignment="1">
      <alignment horizontal="center"/>
    </xf>
    <xf numFmtId="1" fontId="3" fillId="9" borderId="0" xfId="2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4" borderId="2" xfId="0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2" fillId="8" borderId="2" xfId="2" applyNumberForma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8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" fontId="3" fillId="9" borderId="2" xfId="2" applyNumberFormat="1" applyFont="1" applyFill="1" applyBorder="1" applyAlignment="1">
      <alignment horizontal="center"/>
    </xf>
    <xf numFmtId="1" fontId="1" fillId="9" borderId="2" xfId="1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3" xfId="0" applyNumberFormat="1" applyFill="1" applyBorder="1" applyAlignment="1">
      <alignment horizontal="center"/>
    </xf>
    <xf numFmtId="1" fontId="4" fillId="10" borderId="1" xfId="0" applyNumberFormat="1" applyFont="1" applyFill="1" applyBorder="1" applyAlignment="1">
      <alignment horizontal="center"/>
    </xf>
    <xf numFmtId="166" fontId="4" fillId="11" borderId="0" xfId="0" applyNumberFormat="1" applyFont="1" applyFill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1" fontId="0" fillId="8" borderId="0" xfId="0" applyNumberFormat="1" applyFill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9" borderId="2" xfId="0" applyNumberFormat="1" applyFill="1" applyBorder="1" applyAlignment="1">
      <alignment horizontal="center"/>
    </xf>
    <xf numFmtId="1" fontId="3" fillId="0" borderId="0" xfId="2" applyNumberFormat="1" applyFont="1" applyFill="1" applyAlignment="1">
      <alignment horizontal="center"/>
    </xf>
    <xf numFmtId="0" fontId="1" fillId="0" borderId="0" xfId="1" applyFill="1" applyAlignment="1">
      <alignment horizontal="center"/>
    </xf>
    <xf numFmtId="1" fontId="0" fillId="7" borderId="0" xfId="0" applyNumberFormat="1" applyFill="1" applyAlignment="1">
      <alignment horizontal="center"/>
    </xf>
    <xf numFmtId="0" fontId="0" fillId="6" borderId="5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1" fontId="0" fillId="12" borderId="0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13" borderId="2" xfId="0" applyFill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49" fontId="0" fillId="12" borderId="6" xfId="0" applyNumberFormat="1" applyFill="1" applyBorder="1" applyAlignment="1">
      <alignment horizontal="center" wrapText="1"/>
    </xf>
    <xf numFmtId="49" fontId="0" fillId="12" borderId="4" xfId="0" applyNumberFormat="1" applyFill="1" applyBorder="1" applyAlignment="1">
      <alignment horizontal="center" wrapText="1"/>
    </xf>
    <xf numFmtId="49" fontId="0" fillId="12" borderId="7" xfId="0" applyNumberFormat="1" applyFill="1" applyBorder="1" applyAlignment="1">
      <alignment horizontal="center" wrapText="1"/>
    </xf>
    <xf numFmtId="49" fontId="0" fillId="12" borderId="8" xfId="0" applyNumberFormat="1" applyFill="1" applyBorder="1" applyAlignment="1">
      <alignment horizontal="center" wrapText="1"/>
    </xf>
    <xf numFmtId="49" fontId="0" fillId="12" borderId="0" xfId="0" applyNumberFormat="1" applyFill="1" applyBorder="1" applyAlignment="1">
      <alignment horizontal="center" wrapText="1"/>
    </xf>
    <xf numFmtId="49" fontId="0" fillId="12" borderId="9" xfId="0" applyNumberFormat="1" applyFill="1" applyBorder="1" applyAlignment="1">
      <alignment horizontal="center" wrapText="1"/>
    </xf>
    <xf numFmtId="49" fontId="0" fillId="12" borderId="3" xfId="0" applyNumberFormat="1" applyFill="1" applyBorder="1" applyAlignment="1">
      <alignment horizontal="center" wrapText="1"/>
    </xf>
    <xf numFmtId="49" fontId="0" fillId="12" borderId="2" xfId="0" applyNumberFormat="1" applyFill="1" applyBorder="1" applyAlignment="1">
      <alignment horizontal="center" wrapText="1"/>
    </xf>
    <xf numFmtId="49" fontId="0" fillId="12" borderId="10" xfId="0" applyNumberFormat="1" applyFill="1" applyBorder="1" applyAlignment="1">
      <alignment horizontal="center" wrapText="1"/>
    </xf>
  </cellXfs>
  <cellStyles count="3">
    <cellStyle name="Обычный" xfId="0" builtinId="0"/>
    <cellStyle name="Плохой" xfId="2" builtinId="27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cat>
            <c:numRef>
              <c:f>Лист1!$E$2:$E$70</c:f>
              <c:numCache>
                <c:formatCode>General</c:formatCode>
                <c:ptCount val="69"/>
                <c:pt idx="0">
                  <c:v>430</c:v>
                </c:pt>
                <c:pt idx="1">
                  <c:v>450</c:v>
                </c:pt>
                <c:pt idx="2">
                  <c:v>460</c:v>
                </c:pt>
                <c:pt idx="3">
                  <c:v>470</c:v>
                </c:pt>
                <c:pt idx="4">
                  <c:v>490</c:v>
                </c:pt>
                <c:pt idx="5">
                  <c:v>500</c:v>
                </c:pt>
                <c:pt idx="6">
                  <c:v>520</c:v>
                </c:pt>
                <c:pt idx="7">
                  <c:v>540</c:v>
                </c:pt>
                <c:pt idx="8">
                  <c:v>560</c:v>
                </c:pt>
                <c:pt idx="9">
                  <c:v>590</c:v>
                </c:pt>
                <c:pt idx="10">
                  <c:v>620</c:v>
                </c:pt>
                <c:pt idx="11">
                  <c:v>640</c:v>
                </c:pt>
                <c:pt idx="12">
                  <c:v>670</c:v>
                </c:pt>
                <c:pt idx="13">
                  <c:v>710</c:v>
                </c:pt>
                <c:pt idx="14">
                  <c:v>750</c:v>
                </c:pt>
                <c:pt idx="15">
                  <c:v>780</c:v>
                </c:pt>
                <c:pt idx="16">
                  <c:v>810</c:v>
                </c:pt>
                <c:pt idx="17">
                  <c:v>880</c:v>
                </c:pt>
                <c:pt idx="18">
                  <c:v>950</c:v>
                </c:pt>
                <c:pt idx="19">
                  <c:v>1000</c:v>
                </c:pt>
                <c:pt idx="20">
                  <c:v>1050</c:v>
                </c:pt>
                <c:pt idx="21">
                  <c:v>1180</c:v>
                </c:pt>
                <c:pt idx="22">
                  <c:v>1250</c:v>
                </c:pt>
                <c:pt idx="23">
                  <c:v>1350</c:v>
                </c:pt>
                <c:pt idx="24">
                  <c:v>1450</c:v>
                </c:pt>
                <c:pt idx="25">
                  <c:v>1750</c:v>
                </c:pt>
                <c:pt idx="26">
                  <c:v>1900</c:v>
                </c:pt>
                <c:pt idx="27">
                  <c:v>2250</c:v>
                </c:pt>
                <c:pt idx="28">
                  <c:v>2600</c:v>
                </c:pt>
                <c:pt idx="29">
                  <c:v>3250</c:v>
                </c:pt>
                <c:pt idx="30">
                  <c:v>4250</c:v>
                </c:pt>
                <c:pt idx="31">
                  <c:v>6000</c:v>
                </c:pt>
                <c:pt idx="32">
                  <c:v>6250</c:v>
                </c:pt>
                <c:pt idx="33">
                  <c:v>6370</c:v>
                </c:pt>
                <c:pt idx="34">
                  <c:v>6500</c:v>
                </c:pt>
                <c:pt idx="35">
                  <c:v>6570</c:v>
                </c:pt>
                <c:pt idx="36">
                  <c:v>6650</c:v>
                </c:pt>
                <c:pt idx="37">
                  <c:v>6750</c:v>
                </c:pt>
                <c:pt idx="38">
                  <c:v>6830</c:v>
                </c:pt>
                <c:pt idx="39">
                  <c:v>6910</c:v>
                </c:pt>
                <c:pt idx="40">
                  <c:v>7000</c:v>
                </c:pt>
                <c:pt idx="41">
                  <c:v>7125</c:v>
                </c:pt>
                <c:pt idx="42">
                  <c:v>7250</c:v>
                </c:pt>
                <c:pt idx="43">
                  <c:v>7375</c:v>
                </c:pt>
                <c:pt idx="44">
                  <c:v>7500</c:v>
                </c:pt>
                <c:pt idx="45">
                  <c:v>7625</c:v>
                </c:pt>
                <c:pt idx="46">
                  <c:v>7750</c:v>
                </c:pt>
                <c:pt idx="47">
                  <c:v>7815</c:v>
                </c:pt>
                <c:pt idx="48">
                  <c:v>8000</c:v>
                </c:pt>
                <c:pt idx="49">
                  <c:v>8125</c:v>
                </c:pt>
                <c:pt idx="50">
                  <c:v>8250</c:v>
                </c:pt>
                <c:pt idx="51">
                  <c:v>8500</c:v>
                </c:pt>
                <c:pt idx="52">
                  <c:v>8625</c:v>
                </c:pt>
                <c:pt idx="53">
                  <c:v>8750</c:v>
                </c:pt>
                <c:pt idx="54">
                  <c:v>8875</c:v>
                </c:pt>
                <c:pt idx="55">
                  <c:v>9000</c:v>
                </c:pt>
                <c:pt idx="56">
                  <c:v>9250</c:v>
                </c:pt>
                <c:pt idx="57">
                  <c:v>9500</c:v>
                </c:pt>
                <c:pt idx="58">
                  <c:v>9625</c:v>
                </c:pt>
                <c:pt idx="59">
                  <c:v>9750</c:v>
                </c:pt>
                <c:pt idx="60">
                  <c:v>10000</c:v>
                </c:pt>
                <c:pt idx="61">
                  <c:v>10250</c:v>
                </c:pt>
                <c:pt idx="62">
                  <c:v>10500</c:v>
                </c:pt>
                <c:pt idx="63">
                  <c:v>10750</c:v>
                </c:pt>
                <c:pt idx="64">
                  <c:v>11000</c:v>
                </c:pt>
                <c:pt idx="65">
                  <c:v>11250</c:v>
                </c:pt>
                <c:pt idx="66">
                  <c:v>11500</c:v>
                </c:pt>
                <c:pt idx="67">
                  <c:v>11750</c:v>
                </c:pt>
                <c:pt idx="68">
                  <c:v>12000</c:v>
                </c:pt>
              </c:numCache>
            </c:numRef>
          </c:cat>
          <c:val>
            <c:numRef>
              <c:f>Лист1!$K$2:$K$70</c:f>
              <c:numCache>
                <c:formatCode>General</c:formatCode>
                <c:ptCount val="69"/>
                <c:pt idx="0">
                  <c:v>21</c:v>
                </c:pt>
                <c:pt idx="1">
                  <c:v>20.8</c:v>
                </c:pt>
                <c:pt idx="2">
                  <c:v>20.6</c:v>
                </c:pt>
                <c:pt idx="3">
                  <c:v>20.399999999999999</c:v>
                </c:pt>
                <c:pt idx="4">
                  <c:v>20.2</c:v>
                </c:pt>
                <c:pt idx="5">
                  <c:v>20</c:v>
                </c:pt>
                <c:pt idx="6">
                  <c:v>20</c:v>
                </c:pt>
                <c:pt idx="7">
                  <c:v>19.899999999999999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19.7</c:v>
                </c:pt>
                <c:pt idx="11">
                  <c:v>19.600000000000001</c:v>
                </c:pt>
                <c:pt idx="12">
                  <c:v>19.5</c:v>
                </c:pt>
                <c:pt idx="13">
                  <c:v>19.5</c:v>
                </c:pt>
                <c:pt idx="14">
                  <c:v>19.399999999999999</c:v>
                </c:pt>
                <c:pt idx="15">
                  <c:v>19.399999999999999</c:v>
                </c:pt>
                <c:pt idx="16">
                  <c:v>19.3</c:v>
                </c:pt>
                <c:pt idx="17">
                  <c:v>19.3</c:v>
                </c:pt>
                <c:pt idx="18">
                  <c:v>19.2</c:v>
                </c:pt>
                <c:pt idx="19">
                  <c:v>19.2</c:v>
                </c:pt>
                <c:pt idx="20">
                  <c:v>19.100000000000001</c:v>
                </c:pt>
                <c:pt idx="21">
                  <c:v>19.100000000000001</c:v>
                </c:pt>
                <c:pt idx="22">
                  <c:v>19</c:v>
                </c:pt>
                <c:pt idx="23">
                  <c:v>19</c:v>
                </c:pt>
                <c:pt idx="24">
                  <c:v>18.7</c:v>
                </c:pt>
                <c:pt idx="25">
                  <c:v>18.600000000000001</c:v>
                </c:pt>
                <c:pt idx="26">
                  <c:v>18.5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20</c:v>
                </c:pt>
                <c:pt idx="31">
                  <c:v>18</c:v>
                </c:pt>
                <c:pt idx="32">
                  <c:v>17.899999999999999</c:v>
                </c:pt>
                <c:pt idx="33">
                  <c:v>17.850000000000001</c:v>
                </c:pt>
                <c:pt idx="34">
                  <c:v>17.8</c:v>
                </c:pt>
                <c:pt idx="35">
                  <c:v>17.7</c:v>
                </c:pt>
                <c:pt idx="36">
                  <c:v>17.600000000000001</c:v>
                </c:pt>
                <c:pt idx="37">
                  <c:v>17.5</c:v>
                </c:pt>
                <c:pt idx="38">
                  <c:v>17.3</c:v>
                </c:pt>
                <c:pt idx="39">
                  <c:v>17.100000000000001</c:v>
                </c:pt>
                <c:pt idx="40">
                  <c:v>16.899999999999999</c:v>
                </c:pt>
                <c:pt idx="41">
                  <c:v>16.7</c:v>
                </c:pt>
                <c:pt idx="42">
                  <c:v>16.5</c:v>
                </c:pt>
                <c:pt idx="43">
                  <c:v>16.3</c:v>
                </c:pt>
                <c:pt idx="44">
                  <c:v>16.100000000000001</c:v>
                </c:pt>
                <c:pt idx="45">
                  <c:v>15.9</c:v>
                </c:pt>
                <c:pt idx="46">
                  <c:v>15.6</c:v>
                </c:pt>
                <c:pt idx="47">
                  <c:v>15.3</c:v>
                </c:pt>
                <c:pt idx="48">
                  <c:v>15</c:v>
                </c:pt>
                <c:pt idx="49">
                  <c:v>14.6</c:v>
                </c:pt>
                <c:pt idx="50">
                  <c:v>14.2</c:v>
                </c:pt>
                <c:pt idx="51">
                  <c:v>13.8</c:v>
                </c:pt>
                <c:pt idx="52">
                  <c:v>13.5</c:v>
                </c:pt>
                <c:pt idx="53">
                  <c:v>13.2</c:v>
                </c:pt>
                <c:pt idx="54">
                  <c:v>12.4</c:v>
                </c:pt>
                <c:pt idx="55">
                  <c:v>11.5</c:v>
                </c:pt>
                <c:pt idx="56">
                  <c:v>10.5</c:v>
                </c:pt>
                <c:pt idx="57">
                  <c:v>9.6</c:v>
                </c:pt>
                <c:pt idx="58">
                  <c:v>8.6999999999999993</c:v>
                </c:pt>
                <c:pt idx="59">
                  <c:v>7.65</c:v>
                </c:pt>
                <c:pt idx="60">
                  <c:v>6.5</c:v>
                </c:pt>
                <c:pt idx="61">
                  <c:v>5.4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34944"/>
        <c:axId val="186836480"/>
      </c:lineChart>
      <c:catAx>
        <c:axId val="186834944"/>
        <c:scaling>
          <c:orientation val="minMax"/>
        </c:scaling>
        <c:delete val="0"/>
        <c:axPos val="b"/>
        <c:minorGridlines/>
        <c:numFmt formatCode="General" sourceLinked="1"/>
        <c:majorTickMark val="none"/>
        <c:minorTickMark val="none"/>
        <c:tickLblPos val="nextTo"/>
        <c:crossAx val="186836480"/>
        <c:crosses val="autoZero"/>
        <c:auto val="0"/>
        <c:lblAlgn val="ctr"/>
        <c:lblOffset val="100"/>
        <c:tickMarkSkip val="1"/>
        <c:noMultiLvlLbl val="0"/>
      </c:catAx>
      <c:valAx>
        <c:axId val="186836480"/>
        <c:scaling>
          <c:orientation val="minMax"/>
        </c:scaling>
        <c:delete val="0"/>
        <c:axPos val="r"/>
        <c:minorGridlines/>
        <c:numFmt formatCode="General" sourceLinked="1"/>
        <c:majorTickMark val="out"/>
        <c:minorTickMark val="none"/>
        <c:tickLblPos val="nextTo"/>
        <c:crossAx val="186834944"/>
        <c:crosses val="max"/>
        <c:crossBetween val="midCat"/>
      </c:valAx>
      <c:dTable>
        <c:showHorzBorder val="1"/>
        <c:showVertBorder val="1"/>
        <c:showOutline val="1"/>
        <c:showKeys val="0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6</xdr:row>
      <xdr:rowOff>180975</xdr:rowOff>
    </xdr:from>
    <xdr:to>
      <xdr:col>2</xdr:col>
      <xdr:colOff>161925</xdr:colOff>
      <xdr:row>14</xdr:row>
      <xdr:rowOff>19051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90675"/>
          <a:ext cx="1219200" cy="1362076"/>
        </a:xfrm>
        <a:prstGeom prst="rect">
          <a:avLst/>
        </a:prstGeom>
      </xdr:spPr>
    </xdr:pic>
    <xdr:clientData/>
  </xdr:twoCellAnchor>
  <xdr:twoCellAnchor>
    <xdr:from>
      <xdr:col>0</xdr:col>
      <xdr:colOff>23811</xdr:colOff>
      <xdr:row>71</xdr:row>
      <xdr:rowOff>90486</xdr:rowOff>
    </xdr:from>
    <xdr:to>
      <xdr:col>24</xdr:col>
      <xdr:colOff>257175</xdr:colOff>
      <xdr:row>111</xdr:row>
      <xdr:rowOff>104775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2</xdr:row>
          <xdr:rowOff>38100</xdr:rowOff>
        </xdr:from>
        <xdr:to>
          <xdr:col>21</xdr:col>
          <xdr:colOff>47625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angleDeg[64] = {}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V86"/>
  <sheetViews>
    <sheetView tabSelected="1" topLeftCell="C1" zoomScale="70" zoomScaleNormal="70" workbookViewId="0">
      <pane ySplit="1" topLeftCell="A2" activePane="bottomLeft" state="frozen"/>
      <selection pane="bottomLeft" activeCell="O66" sqref="O66"/>
    </sheetView>
  </sheetViews>
  <sheetFormatPr defaultRowHeight="15" x14ac:dyDescent="0.25"/>
  <cols>
    <col min="1" max="1" width="15" customWidth="1"/>
    <col min="2" max="2" width="11.7109375" customWidth="1"/>
    <col min="3" max="4" width="9.7109375" customWidth="1"/>
    <col min="5" max="5" width="12" style="1" customWidth="1"/>
    <col min="6" max="6" width="15" style="1" customWidth="1"/>
    <col min="7" max="7" width="13" style="1" customWidth="1"/>
    <col min="8" max="8" width="15.5703125" style="1" customWidth="1"/>
    <col min="9" max="9" width="10" style="1" customWidth="1"/>
    <col min="10" max="10" width="12.140625" style="1" customWidth="1"/>
    <col min="11" max="11" width="15" style="1" customWidth="1"/>
    <col min="12" max="13" width="14.7109375" customWidth="1"/>
    <col min="14" max="14" width="16.28515625" customWidth="1"/>
    <col min="15" max="15" width="15.85546875" style="1" customWidth="1"/>
    <col min="16" max="16" width="12.85546875" style="1" customWidth="1"/>
    <col min="17" max="17" width="22.5703125" customWidth="1"/>
    <col min="22" max="22" width="33.42578125" customWidth="1"/>
  </cols>
  <sheetData>
    <row r="1" spans="1:22" s="7" customFormat="1" ht="36" customHeight="1" x14ac:dyDescent="0.25">
      <c r="A1" s="8"/>
      <c r="B1" s="9" t="s">
        <v>0</v>
      </c>
      <c r="C1" s="9" t="s">
        <v>1</v>
      </c>
      <c r="D1" s="9" t="s">
        <v>16</v>
      </c>
      <c r="E1" s="9" t="s">
        <v>7</v>
      </c>
      <c r="F1" s="9" t="s">
        <v>8</v>
      </c>
      <c r="G1" s="10" t="s">
        <v>14</v>
      </c>
      <c r="H1" s="11" t="s">
        <v>9</v>
      </c>
      <c r="I1" s="9" t="s">
        <v>4</v>
      </c>
      <c r="J1" s="9" t="s">
        <v>12</v>
      </c>
      <c r="K1" s="10" t="s">
        <v>11</v>
      </c>
      <c r="L1" s="9" t="s">
        <v>6</v>
      </c>
      <c r="M1" s="10" t="s">
        <v>10</v>
      </c>
      <c r="N1" s="41" t="s">
        <v>13</v>
      </c>
      <c r="O1" s="42" t="s">
        <v>15</v>
      </c>
      <c r="P1" s="46" t="s">
        <v>17</v>
      </c>
    </row>
    <row r="2" spans="1:22" x14ac:dyDescent="0.25">
      <c r="A2" t="s">
        <v>2</v>
      </c>
      <c r="B2" s="1">
        <v>5</v>
      </c>
      <c r="C2" s="3">
        <f>100*B2/360</f>
        <v>1.3888888888888888</v>
      </c>
      <c r="D2" s="35">
        <v>63</v>
      </c>
      <c r="E2" s="5">
        <v>430</v>
      </c>
      <c r="F2" s="4">
        <f t="shared" ref="F2:F24" si="0">60*1000000/E2</f>
        <v>139534.88372093023</v>
      </c>
      <c r="G2" s="4">
        <f>F2/16</f>
        <v>8720.9302325581393</v>
      </c>
      <c r="H2" s="4">
        <f>G2-G65</f>
        <v>8372.093023255813</v>
      </c>
      <c r="I2" s="15">
        <f>ROUNDDOWN(H2/256,0)</f>
        <v>32</v>
      </c>
      <c r="J2" s="15">
        <v>0</v>
      </c>
      <c r="K2" s="5">
        <v>21</v>
      </c>
      <c r="L2" s="17">
        <f t="shared" ref="L2:L65" si="1">F2*0.2778/100</f>
        <v>387.62790697674421</v>
      </c>
      <c r="M2" s="12">
        <f>B3-K2</f>
        <v>44</v>
      </c>
      <c r="N2" s="6">
        <f>M2*L2</f>
        <v>17055.627906976744</v>
      </c>
      <c r="O2" s="43">
        <f>65536-N2+120</f>
        <v>48600.372093023252</v>
      </c>
      <c r="P2" s="45">
        <f>1000000/F2</f>
        <v>7.166666666666667</v>
      </c>
    </row>
    <row r="3" spans="1:22" x14ac:dyDescent="0.25">
      <c r="A3" t="s">
        <v>3</v>
      </c>
      <c r="B3" s="31">
        <v>65</v>
      </c>
      <c r="C3" s="3">
        <f>100*B3/360</f>
        <v>18.055555555555557</v>
      </c>
      <c r="D3" s="35">
        <v>62</v>
      </c>
      <c r="E3" s="5">
        <v>450</v>
      </c>
      <c r="F3" s="4">
        <f t="shared" si="0"/>
        <v>133333.33333333334</v>
      </c>
      <c r="G3" s="4">
        <f t="shared" ref="G3:G70" si="2">F3/16</f>
        <v>8333.3333333333339</v>
      </c>
      <c r="H3" s="4">
        <f>G3-G65</f>
        <v>7984.4961240310085</v>
      </c>
      <c r="I3" s="15">
        <f t="shared" ref="I3:I70" si="3">ROUNDDOWN(H3/256,0)</f>
        <v>31</v>
      </c>
      <c r="J3" s="15">
        <v>0</v>
      </c>
      <c r="K3" s="5">
        <v>20.8</v>
      </c>
      <c r="L3" s="2">
        <f t="shared" si="1"/>
        <v>370.4</v>
      </c>
      <c r="M3" s="12">
        <f>B3-K3</f>
        <v>44.2</v>
      </c>
      <c r="N3" s="6">
        <f t="shared" ref="N3:N66" si="4">M3*L3</f>
        <v>16371.68</v>
      </c>
      <c r="O3" s="43">
        <f t="shared" ref="O3:O66" si="5">65536-N3+120</f>
        <v>49284.32</v>
      </c>
      <c r="P3" s="45">
        <f t="shared" ref="P3:P66" si="6">1000000/F3</f>
        <v>7.4999999999999991</v>
      </c>
    </row>
    <row r="4" spans="1:22" x14ac:dyDescent="0.25">
      <c r="A4" t="s">
        <v>5</v>
      </c>
      <c r="B4" s="1">
        <v>1</v>
      </c>
      <c r="C4" s="30">
        <f>100*B4/360</f>
        <v>0.27777777777777779</v>
      </c>
      <c r="D4" s="35">
        <v>61</v>
      </c>
      <c r="E4" s="5">
        <v>460</v>
      </c>
      <c r="F4" s="4">
        <f t="shared" si="0"/>
        <v>130434.78260869565</v>
      </c>
      <c r="G4" s="4">
        <f t="shared" si="2"/>
        <v>8152.173913043478</v>
      </c>
      <c r="H4" s="4">
        <f>G4-G65</f>
        <v>7803.3367037411526</v>
      </c>
      <c r="I4" s="15">
        <f t="shared" si="3"/>
        <v>30</v>
      </c>
      <c r="J4" s="15">
        <v>0</v>
      </c>
      <c r="K4" s="5">
        <v>20.6</v>
      </c>
      <c r="L4" s="2">
        <f t="shared" si="1"/>
        <v>362.3478260869565</v>
      </c>
      <c r="M4" s="12">
        <f>B3-K4</f>
        <v>44.4</v>
      </c>
      <c r="N4" s="6">
        <f t="shared" si="4"/>
        <v>16088.243478260869</v>
      </c>
      <c r="O4" s="43">
        <f t="shared" si="5"/>
        <v>49567.756521739131</v>
      </c>
      <c r="P4" s="45">
        <f t="shared" si="6"/>
        <v>7.666666666666667</v>
      </c>
    </row>
    <row r="5" spans="1:22" ht="15" customHeight="1" x14ac:dyDescent="0.25">
      <c r="B5" s="1"/>
      <c r="C5" s="3"/>
      <c r="D5" s="35">
        <v>60</v>
      </c>
      <c r="E5" s="5">
        <v>470</v>
      </c>
      <c r="F5" s="4">
        <f t="shared" si="0"/>
        <v>127659.57446808511</v>
      </c>
      <c r="G5" s="4">
        <f t="shared" si="2"/>
        <v>7978.7234042553191</v>
      </c>
      <c r="H5" s="4">
        <f>G5-G65</f>
        <v>7629.8861949529937</v>
      </c>
      <c r="I5" s="15">
        <f t="shared" si="3"/>
        <v>29</v>
      </c>
      <c r="J5" s="15">
        <v>0</v>
      </c>
      <c r="K5" s="5">
        <v>20.399999999999999</v>
      </c>
      <c r="L5" s="2">
        <f t="shared" si="1"/>
        <v>354.63829787234039</v>
      </c>
      <c r="M5" s="12">
        <f>B3-K5</f>
        <v>44.6</v>
      </c>
      <c r="N5" s="6">
        <f t="shared" si="4"/>
        <v>15816.868085106382</v>
      </c>
      <c r="O5" s="43">
        <f t="shared" si="5"/>
        <v>49839.131914893616</v>
      </c>
      <c r="P5" s="45">
        <f t="shared" si="6"/>
        <v>7.833333333333333</v>
      </c>
      <c r="Q5" s="48" t="s">
        <v>18</v>
      </c>
      <c r="R5" s="49"/>
      <c r="S5" s="49"/>
      <c r="T5" s="49"/>
      <c r="U5" s="49"/>
      <c r="V5" s="50"/>
    </row>
    <row r="6" spans="1:22" x14ac:dyDescent="0.25">
      <c r="C6" s="3"/>
      <c r="D6" s="35">
        <v>59</v>
      </c>
      <c r="E6" s="5">
        <v>490</v>
      </c>
      <c r="F6" s="4">
        <f t="shared" si="0"/>
        <v>122448.97959183673</v>
      </c>
      <c r="G6" s="4">
        <f t="shared" si="2"/>
        <v>7653.0612244897957</v>
      </c>
      <c r="H6" s="4">
        <f>G6-G65</f>
        <v>7304.2240151874703</v>
      </c>
      <c r="I6" s="15">
        <f t="shared" si="3"/>
        <v>28</v>
      </c>
      <c r="J6" s="15">
        <v>0</v>
      </c>
      <c r="K6" s="5">
        <v>20.2</v>
      </c>
      <c r="L6" s="2">
        <f t="shared" si="1"/>
        <v>340.16326530612241</v>
      </c>
      <c r="M6" s="12">
        <f>B3-K6</f>
        <v>44.8</v>
      </c>
      <c r="N6" s="6">
        <f t="shared" si="4"/>
        <v>15239.314285714283</v>
      </c>
      <c r="O6" s="43">
        <f t="shared" si="5"/>
        <v>50416.685714285719</v>
      </c>
      <c r="P6" s="45">
        <f t="shared" si="6"/>
        <v>8.1666666666666661</v>
      </c>
      <c r="Q6" s="51"/>
      <c r="R6" s="52"/>
      <c r="S6" s="52"/>
      <c r="T6" s="52"/>
      <c r="U6" s="52"/>
      <c r="V6" s="53"/>
    </row>
    <row r="7" spans="1:22" x14ac:dyDescent="0.25">
      <c r="C7" s="3"/>
      <c r="D7" s="35">
        <v>58</v>
      </c>
      <c r="E7" s="5">
        <v>500</v>
      </c>
      <c r="F7" s="4">
        <f t="shared" si="0"/>
        <v>120000</v>
      </c>
      <c r="G7" s="4">
        <f t="shared" si="2"/>
        <v>7500</v>
      </c>
      <c r="H7" s="4">
        <f>G7-G65</f>
        <v>7151.1627906976746</v>
      </c>
      <c r="I7" s="15">
        <f t="shared" si="3"/>
        <v>27</v>
      </c>
      <c r="J7" s="15">
        <v>0</v>
      </c>
      <c r="K7" s="5">
        <v>20</v>
      </c>
      <c r="L7" s="2">
        <f t="shared" si="1"/>
        <v>333.36</v>
      </c>
      <c r="M7" s="12">
        <f>B3-K7</f>
        <v>45</v>
      </c>
      <c r="N7" s="6">
        <f t="shared" si="4"/>
        <v>15001.2</v>
      </c>
      <c r="O7" s="43">
        <f t="shared" si="5"/>
        <v>50654.8</v>
      </c>
      <c r="P7" s="45">
        <f t="shared" si="6"/>
        <v>8.3333333333333339</v>
      </c>
      <c r="Q7" s="51"/>
      <c r="R7" s="52"/>
      <c r="S7" s="52"/>
      <c r="T7" s="52"/>
      <c r="U7" s="52"/>
      <c r="V7" s="53"/>
    </row>
    <row r="8" spans="1:22" x14ac:dyDescent="0.25">
      <c r="C8" s="3"/>
      <c r="D8" s="35">
        <v>57</v>
      </c>
      <c r="E8" s="5">
        <v>520</v>
      </c>
      <c r="F8" s="4">
        <f t="shared" si="0"/>
        <v>115384.61538461539</v>
      </c>
      <c r="G8" s="4">
        <f t="shared" si="2"/>
        <v>7211.5384615384619</v>
      </c>
      <c r="H8" s="4">
        <f>G8-G65</f>
        <v>6862.7012522361365</v>
      </c>
      <c r="I8" s="15">
        <f t="shared" si="3"/>
        <v>26</v>
      </c>
      <c r="J8" s="15">
        <v>0</v>
      </c>
      <c r="K8" s="5">
        <v>20</v>
      </c>
      <c r="L8" s="2">
        <f t="shared" si="1"/>
        <v>320.53846153846155</v>
      </c>
      <c r="M8" s="12">
        <f>B3-K8</f>
        <v>45</v>
      </c>
      <c r="N8" s="6">
        <f t="shared" si="4"/>
        <v>14424.23076923077</v>
      </c>
      <c r="O8" s="43">
        <f t="shared" si="5"/>
        <v>51231.769230769234</v>
      </c>
      <c r="P8" s="45">
        <f t="shared" si="6"/>
        <v>8.6666666666666661</v>
      </c>
      <c r="Q8" s="51"/>
      <c r="R8" s="52"/>
      <c r="S8" s="52"/>
      <c r="T8" s="52"/>
      <c r="U8" s="52"/>
      <c r="V8" s="53"/>
    </row>
    <row r="9" spans="1:22" x14ac:dyDescent="0.25">
      <c r="C9" s="3"/>
      <c r="D9" s="35">
        <v>56</v>
      </c>
      <c r="E9" s="5">
        <v>540</v>
      </c>
      <c r="F9" s="4">
        <f t="shared" si="0"/>
        <v>111111.11111111111</v>
      </c>
      <c r="G9" s="4">
        <f t="shared" si="2"/>
        <v>6944.4444444444443</v>
      </c>
      <c r="H9" s="4">
        <f>G9-G65</f>
        <v>6595.607235142119</v>
      </c>
      <c r="I9" s="15">
        <f t="shared" si="3"/>
        <v>25</v>
      </c>
      <c r="J9" s="15">
        <v>0</v>
      </c>
      <c r="K9" s="5">
        <v>19.899999999999999</v>
      </c>
      <c r="L9" s="2">
        <f t="shared" si="1"/>
        <v>308.66666666666663</v>
      </c>
      <c r="M9" s="12">
        <f>B3-K9</f>
        <v>45.1</v>
      </c>
      <c r="N9" s="6">
        <f t="shared" si="4"/>
        <v>13920.866666666665</v>
      </c>
      <c r="O9" s="43">
        <f t="shared" si="5"/>
        <v>51735.133333333331</v>
      </c>
      <c r="P9" s="45">
        <f t="shared" si="6"/>
        <v>9</v>
      </c>
      <c r="Q9" s="54"/>
      <c r="R9" s="55"/>
      <c r="S9" s="55"/>
      <c r="T9" s="55"/>
      <c r="U9" s="55"/>
      <c r="V9" s="56"/>
    </row>
    <row r="10" spans="1:22" x14ac:dyDescent="0.25">
      <c r="C10" s="3"/>
      <c r="D10" s="35">
        <v>55</v>
      </c>
      <c r="E10" s="5">
        <v>560</v>
      </c>
      <c r="F10" s="4">
        <f t="shared" si="0"/>
        <v>107142.85714285714</v>
      </c>
      <c r="G10" s="4">
        <f t="shared" si="2"/>
        <v>6696.4285714285716</v>
      </c>
      <c r="H10" s="4">
        <f>G10-G65</f>
        <v>6347.5913621262462</v>
      </c>
      <c r="I10" s="15">
        <f t="shared" si="3"/>
        <v>24</v>
      </c>
      <c r="J10" s="15">
        <v>0</v>
      </c>
      <c r="K10" s="5">
        <v>19.899999999999999</v>
      </c>
      <c r="L10" s="2">
        <f t="shared" si="1"/>
        <v>297.64285714285711</v>
      </c>
      <c r="M10" s="12">
        <f>B3-K10</f>
        <v>45.1</v>
      </c>
      <c r="N10" s="6">
        <f t="shared" si="4"/>
        <v>13423.692857142856</v>
      </c>
      <c r="O10" s="43">
        <f t="shared" si="5"/>
        <v>52232.307142857142</v>
      </c>
      <c r="P10" s="45">
        <f t="shared" si="6"/>
        <v>9.3333333333333339</v>
      </c>
    </row>
    <row r="11" spans="1:22" x14ac:dyDescent="0.25">
      <c r="C11" s="3"/>
      <c r="D11" s="35">
        <v>54</v>
      </c>
      <c r="E11" s="5">
        <v>590</v>
      </c>
      <c r="F11" s="4">
        <f t="shared" si="0"/>
        <v>101694.91525423729</v>
      </c>
      <c r="G11" s="4">
        <f t="shared" si="2"/>
        <v>6355.9322033898306</v>
      </c>
      <c r="H11" s="4">
        <f>G11-G65</f>
        <v>6007.0949940875053</v>
      </c>
      <c r="I11" s="15">
        <f t="shared" si="3"/>
        <v>23</v>
      </c>
      <c r="J11" s="15">
        <v>0</v>
      </c>
      <c r="K11" s="5">
        <v>19.8</v>
      </c>
      <c r="L11" s="2">
        <f t="shared" si="1"/>
        <v>282.50847457627117</v>
      </c>
      <c r="M11" s="12">
        <f>B3-K11</f>
        <v>45.2</v>
      </c>
      <c r="N11" s="6">
        <f t="shared" si="4"/>
        <v>12769.383050847458</v>
      </c>
      <c r="O11" s="43">
        <f t="shared" si="5"/>
        <v>52886.616949152543</v>
      </c>
      <c r="P11" s="45">
        <f t="shared" si="6"/>
        <v>9.8333333333333339</v>
      </c>
    </row>
    <row r="12" spans="1:22" x14ac:dyDescent="0.25">
      <c r="D12" s="35">
        <v>53</v>
      </c>
      <c r="E12" s="5">
        <v>620</v>
      </c>
      <c r="F12" s="4">
        <f t="shared" si="0"/>
        <v>96774.193548387091</v>
      </c>
      <c r="G12" s="4">
        <f t="shared" si="2"/>
        <v>6048.3870967741932</v>
      </c>
      <c r="H12" s="4">
        <f>G12-G65</f>
        <v>5699.5498874718678</v>
      </c>
      <c r="I12" s="15">
        <f t="shared" si="3"/>
        <v>22</v>
      </c>
      <c r="J12" s="15">
        <v>0</v>
      </c>
      <c r="K12" s="5">
        <v>19.7</v>
      </c>
      <c r="L12" s="2">
        <f t="shared" si="1"/>
        <v>268.83870967741933</v>
      </c>
      <c r="M12" s="12">
        <f>B3-K12</f>
        <v>45.3</v>
      </c>
      <c r="N12" s="6">
        <f t="shared" si="4"/>
        <v>12178.393548387096</v>
      </c>
      <c r="O12" s="43">
        <f t="shared" si="5"/>
        <v>53477.606451612904</v>
      </c>
      <c r="P12" s="45">
        <f t="shared" si="6"/>
        <v>10.333333333333334</v>
      </c>
    </row>
    <row r="13" spans="1:22" x14ac:dyDescent="0.25">
      <c r="D13" s="35">
        <v>52</v>
      </c>
      <c r="E13" s="5">
        <v>640</v>
      </c>
      <c r="F13" s="4">
        <f t="shared" si="0"/>
        <v>93750</v>
      </c>
      <c r="G13" s="4">
        <f t="shared" si="2"/>
        <v>5859.375</v>
      </c>
      <c r="H13" s="4">
        <f>G13-G65</f>
        <v>5510.5377906976746</v>
      </c>
      <c r="I13" s="15">
        <f t="shared" si="3"/>
        <v>21</v>
      </c>
      <c r="J13" s="15">
        <v>0</v>
      </c>
      <c r="K13" s="5">
        <v>19.600000000000001</v>
      </c>
      <c r="L13" s="2">
        <f t="shared" si="1"/>
        <v>260.4375</v>
      </c>
      <c r="M13" s="12">
        <f>B3-K13</f>
        <v>45.4</v>
      </c>
      <c r="N13" s="6">
        <f t="shared" si="4"/>
        <v>11823.862499999999</v>
      </c>
      <c r="O13" s="43">
        <f t="shared" si="5"/>
        <v>53832.137499999997</v>
      </c>
      <c r="P13" s="45">
        <f t="shared" si="6"/>
        <v>10.666666666666666</v>
      </c>
    </row>
    <row r="14" spans="1:22" x14ac:dyDescent="0.25">
      <c r="D14" s="35">
        <v>51</v>
      </c>
      <c r="E14" s="5">
        <v>670</v>
      </c>
      <c r="F14" s="4">
        <f t="shared" si="0"/>
        <v>89552.238805970148</v>
      </c>
      <c r="G14" s="4">
        <f t="shared" si="2"/>
        <v>5597.0149253731342</v>
      </c>
      <c r="H14" s="4">
        <f>G14-G65</f>
        <v>5248.1777160708089</v>
      </c>
      <c r="I14" s="15">
        <f t="shared" si="3"/>
        <v>20</v>
      </c>
      <c r="J14" s="15">
        <v>0</v>
      </c>
      <c r="K14" s="5">
        <v>19.5</v>
      </c>
      <c r="L14" s="2">
        <f t="shared" si="1"/>
        <v>248.77611940298505</v>
      </c>
      <c r="M14" s="12">
        <f>B3-K14</f>
        <v>45.5</v>
      </c>
      <c r="N14" s="6">
        <f t="shared" si="4"/>
        <v>11319.313432835819</v>
      </c>
      <c r="O14" s="43">
        <f t="shared" si="5"/>
        <v>54336.686567164179</v>
      </c>
      <c r="P14" s="45">
        <f t="shared" si="6"/>
        <v>11.166666666666666</v>
      </c>
    </row>
    <row r="15" spans="1:22" x14ac:dyDescent="0.25">
      <c r="D15" s="35">
        <v>50</v>
      </c>
      <c r="E15" s="5">
        <v>710</v>
      </c>
      <c r="F15" s="4">
        <f t="shared" si="0"/>
        <v>84507.042253521126</v>
      </c>
      <c r="G15" s="4">
        <f t="shared" si="2"/>
        <v>5281.6901408450703</v>
      </c>
      <c r="H15" s="4">
        <f>G15-G65</f>
        <v>4932.852931542745</v>
      </c>
      <c r="I15" s="15">
        <f t="shared" si="3"/>
        <v>19</v>
      </c>
      <c r="J15" s="15">
        <v>0</v>
      </c>
      <c r="K15" s="5">
        <v>19.5</v>
      </c>
      <c r="L15" s="2">
        <f t="shared" si="1"/>
        <v>234.76056338028167</v>
      </c>
      <c r="M15" s="12">
        <f>B3-K15</f>
        <v>45.5</v>
      </c>
      <c r="N15" s="6">
        <f t="shared" si="4"/>
        <v>10681.605633802816</v>
      </c>
      <c r="O15" s="43">
        <f t="shared" si="5"/>
        <v>54974.394366197186</v>
      </c>
      <c r="P15" s="45">
        <f t="shared" si="6"/>
        <v>11.833333333333334</v>
      </c>
    </row>
    <row r="16" spans="1:22" x14ac:dyDescent="0.25">
      <c r="D16" s="35">
        <v>49</v>
      </c>
      <c r="E16" s="5">
        <v>750</v>
      </c>
      <c r="F16" s="4">
        <f t="shared" si="0"/>
        <v>80000</v>
      </c>
      <c r="G16" s="4">
        <f t="shared" si="2"/>
        <v>5000</v>
      </c>
      <c r="H16" s="4">
        <f>G16-G65</f>
        <v>4651.1627906976746</v>
      </c>
      <c r="I16" s="15">
        <f t="shared" si="3"/>
        <v>18</v>
      </c>
      <c r="J16" s="15">
        <v>0</v>
      </c>
      <c r="K16" s="5">
        <v>19.399999999999999</v>
      </c>
      <c r="L16" s="2">
        <f t="shared" si="1"/>
        <v>222.24</v>
      </c>
      <c r="M16" s="12">
        <f>B3-K16</f>
        <v>45.6</v>
      </c>
      <c r="N16" s="6">
        <f t="shared" si="4"/>
        <v>10134.144</v>
      </c>
      <c r="O16" s="43">
        <f t="shared" si="5"/>
        <v>55521.856</v>
      </c>
      <c r="P16" s="45">
        <f t="shared" si="6"/>
        <v>12.5</v>
      </c>
    </row>
    <row r="17" spans="4:16" x14ac:dyDescent="0.25">
      <c r="D17" s="35">
        <v>48</v>
      </c>
      <c r="E17" s="5">
        <v>780</v>
      </c>
      <c r="F17" s="4">
        <f t="shared" si="0"/>
        <v>76923.076923076922</v>
      </c>
      <c r="G17" s="4">
        <f t="shared" si="2"/>
        <v>4807.6923076923076</v>
      </c>
      <c r="H17" s="4">
        <f>G17-G65</f>
        <v>4458.8550983899822</v>
      </c>
      <c r="I17" s="15">
        <f t="shared" si="3"/>
        <v>17</v>
      </c>
      <c r="J17" s="15">
        <v>0</v>
      </c>
      <c r="K17" s="5">
        <v>19.399999999999999</v>
      </c>
      <c r="L17" s="2">
        <f t="shared" si="1"/>
        <v>213.69230769230771</v>
      </c>
      <c r="M17" s="12">
        <f>B3-K17</f>
        <v>45.6</v>
      </c>
      <c r="N17" s="6">
        <f t="shared" si="4"/>
        <v>9744.3692307692327</v>
      </c>
      <c r="O17" s="43">
        <f t="shared" si="5"/>
        <v>55911.630769230767</v>
      </c>
      <c r="P17" s="45">
        <f t="shared" si="6"/>
        <v>13</v>
      </c>
    </row>
    <row r="18" spans="4:16" x14ac:dyDescent="0.25">
      <c r="D18" s="35">
        <v>47</v>
      </c>
      <c r="E18" s="5">
        <v>810</v>
      </c>
      <c r="F18" s="4">
        <f t="shared" si="0"/>
        <v>74074.074074074073</v>
      </c>
      <c r="G18" s="4">
        <f t="shared" si="2"/>
        <v>4629.6296296296296</v>
      </c>
      <c r="H18" s="4">
        <f>G18-G65</f>
        <v>4280.7924203273042</v>
      </c>
      <c r="I18" s="15">
        <f t="shared" si="3"/>
        <v>16</v>
      </c>
      <c r="J18" s="15">
        <v>0</v>
      </c>
      <c r="K18" s="5">
        <v>19.3</v>
      </c>
      <c r="L18" s="2">
        <f t="shared" si="1"/>
        <v>205.77777777777777</v>
      </c>
      <c r="M18" s="12">
        <f>B3-K18</f>
        <v>45.7</v>
      </c>
      <c r="N18" s="6">
        <f t="shared" si="4"/>
        <v>9404.0444444444456</v>
      </c>
      <c r="O18" s="43">
        <f t="shared" si="5"/>
        <v>56251.955555555556</v>
      </c>
      <c r="P18" s="45">
        <f t="shared" si="6"/>
        <v>13.5</v>
      </c>
    </row>
    <row r="19" spans="4:16" x14ac:dyDescent="0.25">
      <c r="D19" s="35">
        <v>46</v>
      </c>
      <c r="E19" s="5">
        <v>880</v>
      </c>
      <c r="F19" s="4">
        <f t="shared" si="0"/>
        <v>68181.818181818177</v>
      </c>
      <c r="G19" s="4">
        <f t="shared" si="2"/>
        <v>4261.363636363636</v>
      </c>
      <c r="H19" s="4">
        <f>G19-G65</f>
        <v>3912.5264270613106</v>
      </c>
      <c r="I19" s="15">
        <f t="shared" si="3"/>
        <v>15</v>
      </c>
      <c r="J19" s="15">
        <v>0</v>
      </c>
      <c r="K19" s="5">
        <v>19.3</v>
      </c>
      <c r="L19" s="2">
        <f t="shared" si="1"/>
        <v>189.40909090909088</v>
      </c>
      <c r="M19" s="12">
        <f>B3-K19</f>
        <v>45.7</v>
      </c>
      <c r="N19" s="6">
        <f t="shared" si="4"/>
        <v>8655.995454545453</v>
      </c>
      <c r="O19" s="43">
        <f t="shared" si="5"/>
        <v>57000.004545454547</v>
      </c>
      <c r="P19" s="45">
        <f t="shared" si="6"/>
        <v>14.666666666666668</v>
      </c>
    </row>
    <row r="20" spans="4:16" x14ac:dyDescent="0.25">
      <c r="D20" s="35">
        <v>45</v>
      </c>
      <c r="E20" s="5">
        <v>950</v>
      </c>
      <c r="F20" s="4">
        <f t="shared" si="0"/>
        <v>63157.894736842107</v>
      </c>
      <c r="G20" s="4">
        <f t="shared" si="2"/>
        <v>3947.3684210526317</v>
      </c>
      <c r="H20" s="4">
        <f>G20-G65</f>
        <v>3598.5312117503063</v>
      </c>
      <c r="I20" s="15">
        <f t="shared" si="3"/>
        <v>14</v>
      </c>
      <c r="J20" s="15">
        <v>0</v>
      </c>
      <c r="K20" s="5">
        <v>19.2</v>
      </c>
      <c r="L20" s="2">
        <f t="shared" si="1"/>
        <v>175.45263157894738</v>
      </c>
      <c r="M20" s="12">
        <f>B3-K20</f>
        <v>45.8</v>
      </c>
      <c r="N20" s="6">
        <f t="shared" si="4"/>
        <v>8035.7305263157896</v>
      </c>
      <c r="O20" s="43">
        <f t="shared" si="5"/>
        <v>57620.26947368421</v>
      </c>
      <c r="P20" s="45">
        <f t="shared" si="6"/>
        <v>15.833333333333332</v>
      </c>
    </row>
    <row r="21" spans="4:16" x14ac:dyDescent="0.25">
      <c r="D21" s="35">
        <v>44</v>
      </c>
      <c r="E21" s="5">
        <v>1000</v>
      </c>
      <c r="F21" s="4">
        <f t="shared" si="0"/>
        <v>60000</v>
      </c>
      <c r="G21" s="4">
        <f t="shared" si="2"/>
        <v>3750</v>
      </c>
      <c r="H21" s="4">
        <f>G21-G65</f>
        <v>3401.1627906976746</v>
      </c>
      <c r="I21" s="15">
        <f t="shared" si="3"/>
        <v>13</v>
      </c>
      <c r="J21" s="15">
        <v>0</v>
      </c>
      <c r="K21" s="5">
        <v>19.2</v>
      </c>
      <c r="L21" s="2">
        <f t="shared" si="1"/>
        <v>166.68</v>
      </c>
      <c r="M21" s="12">
        <f>B3-K21</f>
        <v>45.8</v>
      </c>
      <c r="N21" s="6">
        <f t="shared" si="4"/>
        <v>7633.9439999999995</v>
      </c>
      <c r="O21" s="43">
        <f t="shared" si="5"/>
        <v>58022.055999999997</v>
      </c>
      <c r="P21" s="45">
        <f t="shared" si="6"/>
        <v>16.666666666666668</v>
      </c>
    </row>
    <row r="22" spans="4:16" x14ac:dyDescent="0.25">
      <c r="D22" s="35">
        <v>43</v>
      </c>
      <c r="E22" s="5">
        <v>1050</v>
      </c>
      <c r="F22" s="4">
        <f t="shared" si="0"/>
        <v>57142.857142857145</v>
      </c>
      <c r="G22" s="4">
        <f t="shared" si="2"/>
        <v>3571.4285714285716</v>
      </c>
      <c r="H22" s="4">
        <f>G22-G65</f>
        <v>3222.5913621262462</v>
      </c>
      <c r="I22" s="15">
        <f t="shared" si="3"/>
        <v>12</v>
      </c>
      <c r="J22" s="15">
        <v>0</v>
      </c>
      <c r="K22" s="5">
        <v>19.100000000000001</v>
      </c>
      <c r="L22" s="2">
        <f t="shared" si="1"/>
        <v>158.74285714285713</v>
      </c>
      <c r="M22" s="12">
        <f>B3-K22</f>
        <v>45.9</v>
      </c>
      <c r="N22" s="6">
        <f t="shared" si="4"/>
        <v>7286.2971428571418</v>
      </c>
      <c r="O22" s="43">
        <f t="shared" si="5"/>
        <v>58369.70285714286</v>
      </c>
      <c r="P22" s="45">
        <f t="shared" si="6"/>
        <v>17.5</v>
      </c>
    </row>
    <row r="23" spans="4:16" x14ac:dyDescent="0.25">
      <c r="D23" s="35">
        <v>42</v>
      </c>
      <c r="E23" s="5">
        <v>1180</v>
      </c>
      <c r="F23" s="4">
        <f t="shared" si="0"/>
        <v>50847.457627118645</v>
      </c>
      <c r="G23" s="4">
        <f>F23/16</f>
        <v>3177.9661016949153</v>
      </c>
      <c r="H23" s="4">
        <f>G23-G65</f>
        <v>2829.1288923925899</v>
      </c>
      <c r="I23" s="15">
        <f t="shared" si="3"/>
        <v>11</v>
      </c>
      <c r="J23" s="15">
        <v>0</v>
      </c>
      <c r="K23" s="5">
        <v>19.100000000000001</v>
      </c>
      <c r="L23" s="2">
        <f>F23*0.2778/100</f>
        <v>141.25423728813558</v>
      </c>
      <c r="M23" s="12">
        <f>B3-K23</f>
        <v>45.9</v>
      </c>
      <c r="N23" s="6">
        <f t="shared" si="4"/>
        <v>6483.5694915254235</v>
      </c>
      <c r="O23" s="43">
        <f t="shared" si="5"/>
        <v>59172.430508474579</v>
      </c>
      <c r="P23" s="45">
        <f t="shared" si="6"/>
        <v>19.666666666666668</v>
      </c>
    </row>
    <row r="24" spans="4:16" x14ac:dyDescent="0.25">
      <c r="D24" s="35">
        <v>41</v>
      </c>
      <c r="E24" s="5">
        <v>1250</v>
      </c>
      <c r="F24" s="4">
        <f t="shared" si="0"/>
        <v>48000</v>
      </c>
      <c r="G24" s="4">
        <f>F24/16</f>
        <v>3000</v>
      </c>
      <c r="H24" s="4">
        <f>G24-G65</f>
        <v>2651.1627906976746</v>
      </c>
      <c r="I24" s="15">
        <f t="shared" si="3"/>
        <v>10</v>
      </c>
      <c r="J24" s="15">
        <v>0</v>
      </c>
      <c r="K24" s="5">
        <v>19</v>
      </c>
      <c r="L24" s="2">
        <f>F24*0.2778/100</f>
        <v>133.34399999999999</v>
      </c>
      <c r="M24" s="12">
        <f>B3-K24</f>
        <v>46</v>
      </c>
      <c r="N24" s="6">
        <f t="shared" si="4"/>
        <v>6133.8239999999996</v>
      </c>
      <c r="O24" s="43">
        <f t="shared" si="5"/>
        <v>59522.175999999999</v>
      </c>
      <c r="P24" s="45">
        <f t="shared" si="6"/>
        <v>20.833333333333332</v>
      </c>
    </row>
    <row r="25" spans="4:16" x14ac:dyDescent="0.25">
      <c r="D25" s="35">
        <v>40</v>
      </c>
      <c r="E25" s="5">
        <v>1350</v>
      </c>
      <c r="F25" s="4">
        <f t="shared" ref="F25:F33" si="7">60*1000000/E25</f>
        <v>44444.444444444445</v>
      </c>
      <c r="G25" s="4">
        <f t="shared" ref="G25:G33" si="8">F25/16</f>
        <v>2777.7777777777778</v>
      </c>
      <c r="H25" s="4">
        <f>G25-G65</f>
        <v>2428.9405684754524</v>
      </c>
      <c r="I25" s="15">
        <f t="shared" si="3"/>
        <v>9</v>
      </c>
      <c r="J25" s="15">
        <v>0</v>
      </c>
      <c r="K25" s="5">
        <v>19</v>
      </c>
      <c r="L25" s="2">
        <f t="shared" ref="L25:L33" si="9">F25*0.2778/100</f>
        <v>123.46666666666665</v>
      </c>
      <c r="M25" s="12">
        <f>B3-K25</f>
        <v>46</v>
      </c>
      <c r="N25" s="6">
        <f t="shared" si="4"/>
        <v>5679.4666666666662</v>
      </c>
      <c r="O25" s="43">
        <f t="shared" si="5"/>
        <v>59976.533333333333</v>
      </c>
      <c r="P25" s="45">
        <f t="shared" si="6"/>
        <v>22.5</v>
      </c>
    </row>
    <row r="26" spans="4:16" x14ac:dyDescent="0.25">
      <c r="D26" s="35">
        <v>39</v>
      </c>
      <c r="E26" s="5">
        <v>1450</v>
      </c>
      <c r="F26" s="4">
        <f t="shared" si="7"/>
        <v>41379.310344827587</v>
      </c>
      <c r="G26" s="4">
        <f t="shared" si="8"/>
        <v>2586.2068965517242</v>
      </c>
      <c r="H26" s="4">
        <f>G26-G65</f>
        <v>2237.3696872493988</v>
      </c>
      <c r="I26" s="15">
        <f t="shared" si="3"/>
        <v>8</v>
      </c>
      <c r="J26" s="15">
        <v>0</v>
      </c>
      <c r="K26" s="5">
        <v>18.7</v>
      </c>
      <c r="L26" s="2">
        <f t="shared" si="9"/>
        <v>114.95172413793104</v>
      </c>
      <c r="M26" s="12">
        <f>B3-K26</f>
        <v>46.3</v>
      </c>
      <c r="N26" s="6">
        <f t="shared" si="4"/>
        <v>5322.2648275862066</v>
      </c>
      <c r="O26" s="43">
        <f t="shared" si="5"/>
        <v>60333.735172413792</v>
      </c>
      <c r="P26" s="45">
        <f t="shared" si="6"/>
        <v>24.166666666666668</v>
      </c>
    </row>
    <row r="27" spans="4:16" x14ac:dyDescent="0.25">
      <c r="D27" s="35">
        <v>38</v>
      </c>
      <c r="E27" s="5">
        <v>1750</v>
      </c>
      <c r="F27" s="4">
        <f t="shared" si="7"/>
        <v>34285.714285714283</v>
      </c>
      <c r="G27" s="4">
        <f t="shared" si="8"/>
        <v>2142.8571428571427</v>
      </c>
      <c r="H27" s="4">
        <f>G27-G65</f>
        <v>1794.019933554817</v>
      </c>
      <c r="I27" s="15">
        <f t="shared" si="3"/>
        <v>7</v>
      </c>
      <c r="J27" s="15">
        <v>0</v>
      </c>
      <c r="K27" s="5">
        <v>18.600000000000001</v>
      </c>
      <c r="L27" s="2">
        <f t="shared" si="9"/>
        <v>95.245714285714271</v>
      </c>
      <c r="M27" s="12">
        <f>B3-K27</f>
        <v>46.4</v>
      </c>
      <c r="N27" s="6">
        <f t="shared" si="4"/>
        <v>4419.4011428571421</v>
      </c>
      <c r="O27" s="43">
        <f t="shared" si="5"/>
        <v>61236.598857142861</v>
      </c>
      <c r="P27" s="45">
        <f t="shared" si="6"/>
        <v>29.166666666666668</v>
      </c>
    </row>
    <row r="28" spans="4:16" x14ac:dyDescent="0.25">
      <c r="D28" s="35">
        <v>37</v>
      </c>
      <c r="E28" s="5">
        <v>1900</v>
      </c>
      <c r="F28" s="4">
        <f t="shared" si="7"/>
        <v>31578.947368421053</v>
      </c>
      <c r="G28" s="4">
        <f t="shared" si="8"/>
        <v>1973.6842105263158</v>
      </c>
      <c r="H28" s="4">
        <f>G28-G65</f>
        <v>1624.8470012239902</v>
      </c>
      <c r="I28" s="15">
        <f t="shared" si="3"/>
        <v>6</v>
      </c>
      <c r="J28" s="15">
        <v>0</v>
      </c>
      <c r="K28" s="5">
        <v>18.5</v>
      </c>
      <c r="L28" s="2">
        <f t="shared" si="9"/>
        <v>87.726315789473688</v>
      </c>
      <c r="M28" s="12">
        <f>B3-K28</f>
        <v>46.5</v>
      </c>
      <c r="N28" s="6">
        <f t="shared" si="4"/>
        <v>4079.2736842105264</v>
      </c>
      <c r="O28" s="43">
        <f t="shared" si="5"/>
        <v>61576.72631578947</v>
      </c>
      <c r="P28" s="45">
        <f t="shared" si="6"/>
        <v>31.666666666666664</v>
      </c>
    </row>
    <row r="29" spans="4:16" x14ac:dyDescent="0.25">
      <c r="D29" s="35">
        <v>36</v>
      </c>
      <c r="E29" s="5">
        <v>2250</v>
      </c>
      <c r="F29" s="4">
        <f t="shared" si="7"/>
        <v>26666.666666666668</v>
      </c>
      <c r="G29" s="4">
        <f t="shared" si="8"/>
        <v>1666.6666666666667</v>
      </c>
      <c r="H29" s="4">
        <f>G29-G65</f>
        <v>1317.8294573643411</v>
      </c>
      <c r="I29" s="15">
        <f t="shared" si="3"/>
        <v>5</v>
      </c>
      <c r="J29" s="15">
        <v>0</v>
      </c>
      <c r="K29" s="5">
        <v>18</v>
      </c>
      <c r="L29" s="2">
        <f t="shared" si="9"/>
        <v>74.08</v>
      </c>
      <c r="M29" s="12">
        <f>B3-K29</f>
        <v>47</v>
      </c>
      <c r="N29" s="6">
        <f t="shared" si="4"/>
        <v>3481.7599999999998</v>
      </c>
      <c r="O29" s="43">
        <f t="shared" si="5"/>
        <v>62174.239999999998</v>
      </c>
      <c r="P29" s="45">
        <f t="shared" si="6"/>
        <v>37.5</v>
      </c>
    </row>
    <row r="30" spans="4:16" x14ac:dyDescent="0.25">
      <c r="D30" s="35">
        <v>35</v>
      </c>
      <c r="E30" s="5">
        <v>2600</v>
      </c>
      <c r="F30" s="4">
        <f t="shared" si="7"/>
        <v>23076.923076923078</v>
      </c>
      <c r="G30" s="4">
        <f t="shared" si="8"/>
        <v>1442.3076923076924</v>
      </c>
      <c r="H30" s="4">
        <f>G30-G65</f>
        <v>1093.4704830053668</v>
      </c>
      <c r="I30" s="15">
        <f t="shared" si="3"/>
        <v>4</v>
      </c>
      <c r="J30" s="15">
        <v>0</v>
      </c>
      <c r="K30" s="5">
        <v>19</v>
      </c>
      <c r="L30" s="2">
        <f t="shared" si="9"/>
        <v>64.107692307692304</v>
      </c>
      <c r="M30" s="12">
        <f>B3-K30</f>
        <v>46</v>
      </c>
      <c r="N30" s="6">
        <f t="shared" si="4"/>
        <v>2948.9538461538459</v>
      </c>
      <c r="O30" s="43">
        <f t="shared" si="5"/>
        <v>62707.046153846153</v>
      </c>
      <c r="P30" s="45">
        <f t="shared" si="6"/>
        <v>43.333333333333329</v>
      </c>
    </row>
    <row r="31" spans="4:16" x14ac:dyDescent="0.25">
      <c r="D31" s="35">
        <v>34</v>
      </c>
      <c r="E31" s="5">
        <v>3250</v>
      </c>
      <c r="F31" s="4">
        <f t="shared" si="7"/>
        <v>18461.538461538461</v>
      </c>
      <c r="G31" s="4">
        <f t="shared" si="8"/>
        <v>1153.8461538461538</v>
      </c>
      <c r="H31" s="4">
        <f>G31-G65</f>
        <v>805.00894454382819</v>
      </c>
      <c r="I31" s="15">
        <f t="shared" si="3"/>
        <v>3</v>
      </c>
      <c r="J31" s="15">
        <v>0</v>
      </c>
      <c r="K31" s="5">
        <v>20</v>
      </c>
      <c r="L31" s="2">
        <f t="shared" si="9"/>
        <v>51.286153846153844</v>
      </c>
      <c r="M31" s="12">
        <f>B3-K31</f>
        <v>45</v>
      </c>
      <c r="N31" s="6">
        <f t="shared" si="4"/>
        <v>2307.876923076923</v>
      </c>
      <c r="O31" s="43">
        <f t="shared" si="5"/>
        <v>63348.123076923075</v>
      </c>
      <c r="P31" s="45">
        <f t="shared" si="6"/>
        <v>54.166666666666671</v>
      </c>
    </row>
    <row r="32" spans="4:16" x14ac:dyDescent="0.25">
      <c r="D32" s="35">
        <v>33</v>
      </c>
      <c r="E32" s="5">
        <v>4250</v>
      </c>
      <c r="F32" s="4">
        <f t="shared" si="7"/>
        <v>14117.64705882353</v>
      </c>
      <c r="G32" s="4">
        <f t="shared" si="8"/>
        <v>882.35294117647061</v>
      </c>
      <c r="H32" s="4">
        <f>G32-G65</f>
        <v>533.5157318741451</v>
      </c>
      <c r="I32" s="15">
        <f t="shared" si="3"/>
        <v>2</v>
      </c>
      <c r="J32" s="15">
        <v>0</v>
      </c>
      <c r="K32" s="5">
        <v>20</v>
      </c>
      <c r="L32" s="2">
        <f t="shared" si="9"/>
        <v>39.218823529411765</v>
      </c>
      <c r="M32" s="12">
        <f>B3-K32</f>
        <v>45</v>
      </c>
      <c r="N32" s="6">
        <f t="shared" si="4"/>
        <v>1764.8470588235293</v>
      </c>
      <c r="O32" s="43">
        <f t="shared" si="5"/>
        <v>63891.152941176471</v>
      </c>
      <c r="P32" s="45">
        <f t="shared" si="6"/>
        <v>70.833333333333329</v>
      </c>
    </row>
    <row r="33" spans="4:16" x14ac:dyDescent="0.25">
      <c r="D33" s="35">
        <v>32</v>
      </c>
      <c r="E33" s="18">
        <v>6000</v>
      </c>
      <c r="F33" s="19">
        <f t="shared" si="7"/>
        <v>10000</v>
      </c>
      <c r="G33" s="19">
        <f t="shared" si="8"/>
        <v>625</v>
      </c>
      <c r="H33" s="19">
        <f>G33-G65</f>
        <v>276.16279069767444</v>
      </c>
      <c r="I33" s="20">
        <f t="shared" si="3"/>
        <v>1</v>
      </c>
      <c r="J33" s="20">
        <v>0</v>
      </c>
      <c r="K33" s="18">
        <v>18</v>
      </c>
      <c r="L33" s="21">
        <f t="shared" si="9"/>
        <v>27.78</v>
      </c>
      <c r="M33" s="22">
        <f>B3-K33</f>
        <v>47</v>
      </c>
      <c r="N33" s="23">
        <f t="shared" si="4"/>
        <v>1305.6600000000001</v>
      </c>
      <c r="O33" s="44">
        <f t="shared" si="5"/>
        <v>64350.34</v>
      </c>
      <c r="P33" s="47">
        <f t="shared" si="6"/>
        <v>100</v>
      </c>
    </row>
    <row r="34" spans="4:16" x14ac:dyDescent="0.25">
      <c r="D34" s="33">
        <v>31</v>
      </c>
      <c r="E34" s="5">
        <v>6250</v>
      </c>
      <c r="F34" s="4">
        <f t="shared" ref="F34:F70" si="10">60*1000000/E34</f>
        <v>9600</v>
      </c>
      <c r="G34" s="4">
        <f t="shared" si="2"/>
        <v>600</v>
      </c>
      <c r="H34" s="4">
        <f>G34-G65</f>
        <v>251.16279069767444</v>
      </c>
      <c r="I34" s="16">
        <f t="shared" si="3"/>
        <v>0</v>
      </c>
      <c r="J34" s="14">
        <f>(H34-I34*256)/8</f>
        <v>31.395348837209305</v>
      </c>
      <c r="K34" s="5">
        <v>17.899999999999999</v>
      </c>
      <c r="L34" s="2">
        <f t="shared" si="1"/>
        <v>26.668800000000001</v>
      </c>
      <c r="M34" s="13">
        <f>B3-K34</f>
        <v>47.1</v>
      </c>
      <c r="N34" s="6">
        <f t="shared" si="4"/>
        <v>1256.1004800000001</v>
      </c>
      <c r="O34" s="43">
        <f t="shared" si="5"/>
        <v>64399.899519999999</v>
      </c>
      <c r="P34" s="45">
        <f t="shared" si="6"/>
        <v>104.16666666666667</v>
      </c>
    </row>
    <row r="35" spans="4:16" x14ac:dyDescent="0.25">
      <c r="D35" s="32">
        <v>30</v>
      </c>
      <c r="E35" s="5">
        <v>6370</v>
      </c>
      <c r="F35" s="4">
        <f t="shared" si="10"/>
        <v>9419.1522762951336</v>
      </c>
      <c r="G35" s="4">
        <f t="shared" si="2"/>
        <v>588.69701726844585</v>
      </c>
      <c r="H35" s="4">
        <f>G35-G65</f>
        <v>239.85980796612029</v>
      </c>
      <c r="I35" s="16">
        <f t="shared" si="3"/>
        <v>0</v>
      </c>
      <c r="J35" s="14">
        <f>(H35-I35*256)/8</f>
        <v>29.982475995765036</v>
      </c>
      <c r="K35" s="5">
        <v>17.850000000000001</v>
      </c>
      <c r="L35" s="2">
        <f t="shared" si="1"/>
        <v>26.166405023547881</v>
      </c>
      <c r="M35" s="13">
        <f>B3-K35</f>
        <v>47.15</v>
      </c>
      <c r="N35" s="6">
        <f t="shared" si="4"/>
        <v>1233.7459968602825</v>
      </c>
      <c r="O35" s="43">
        <f t="shared" si="5"/>
        <v>64422.254003139715</v>
      </c>
      <c r="P35" s="45">
        <f t="shared" si="6"/>
        <v>106.16666666666667</v>
      </c>
    </row>
    <row r="36" spans="4:16" x14ac:dyDescent="0.25">
      <c r="D36" s="32">
        <v>29</v>
      </c>
      <c r="E36" s="5">
        <v>6500</v>
      </c>
      <c r="F36" s="4">
        <f t="shared" si="10"/>
        <v>9230.7692307692305</v>
      </c>
      <c r="G36" s="4">
        <f t="shared" si="2"/>
        <v>576.92307692307691</v>
      </c>
      <c r="H36" s="4">
        <f>G36-G65</f>
        <v>228.08586762075134</v>
      </c>
      <c r="I36" s="16">
        <f t="shared" si="3"/>
        <v>0</v>
      </c>
      <c r="J36" s="14">
        <f t="shared" ref="J36:J65" si="11">(H36-I36*256)/8</f>
        <v>28.510733452593918</v>
      </c>
      <c r="K36" s="5">
        <v>17.8</v>
      </c>
      <c r="L36" s="2">
        <f t="shared" si="1"/>
        <v>25.643076923076922</v>
      </c>
      <c r="M36" s="13">
        <f>B3-K36</f>
        <v>47.2</v>
      </c>
      <c r="N36" s="6">
        <f t="shared" si="4"/>
        <v>1210.3532307692308</v>
      </c>
      <c r="O36" s="43">
        <f t="shared" si="5"/>
        <v>64445.646769230771</v>
      </c>
      <c r="P36" s="45">
        <f t="shared" si="6"/>
        <v>108.33333333333334</v>
      </c>
    </row>
    <row r="37" spans="4:16" x14ac:dyDescent="0.25">
      <c r="D37" s="32">
        <v>28</v>
      </c>
      <c r="E37" s="5">
        <v>6570</v>
      </c>
      <c r="F37" s="4">
        <f t="shared" si="10"/>
        <v>9132.4200913242003</v>
      </c>
      <c r="G37" s="4">
        <f t="shared" si="2"/>
        <v>570.77625570776252</v>
      </c>
      <c r="H37" s="4">
        <f>G37-G65</f>
        <v>221.93904640543695</v>
      </c>
      <c r="I37" s="16">
        <f t="shared" si="3"/>
        <v>0</v>
      </c>
      <c r="J37" s="14">
        <f t="shared" si="11"/>
        <v>27.742380800679619</v>
      </c>
      <c r="K37" s="5">
        <v>17.7</v>
      </c>
      <c r="L37" s="2">
        <f t="shared" si="1"/>
        <v>25.369863013698627</v>
      </c>
      <c r="M37" s="13">
        <f>B3-K37</f>
        <v>47.3</v>
      </c>
      <c r="N37" s="6">
        <f t="shared" si="4"/>
        <v>1199.9945205479451</v>
      </c>
      <c r="O37" s="43">
        <f t="shared" si="5"/>
        <v>64456.005479452055</v>
      </c>
      <c r="P37" s="45">
        <f t="shared" si="6"/>
        <v>109.50000000000001</v>
      </c>
    </row>
    <row r="38" spans="4:16" x14ac:dyDescent="0.25">
      <c r="D38" s="32">
        <v>27</v>
      </c>
      <c r="E38" s="5">
        <v>6650</v>
      </c>
      <c r="F38" s="4">
        <f t="shared" si="10"/>
        <v>9022.5563909774428</v>
      </c>
      <c r="G38" s="4">
        <f t="shared" si="2"/>
        <v>563.90977443609017</v>
      </c>
      <c r="H38" s="4">
        <f>G38-G65</f>
        <v>215.07256513376461</v>
      </c>
      <c r="I38" s="16">
        <f t="shared" si="3"/>
        <v>0</v>
      </c>
      <c r="J38" s="14">
        <f t="shared" si="11"/>
        <v>26.884070641720577</v>
      </c>
      <c r="K38" s="5">
        <v>17.600000000000001</v>
      </c>
      <c r="L38" s="2">
        <f t="shared" si="1"/>
        <v>25.064661654135335</v>
      </c>
      <c r="M38" s="13">
        <f>B3-K38</f>
        <v>47.4</v>
      </c>
      <c r="N38" s="6">
        <f t="shared" si="4"/>
        <v>1188.064962406015</v>
      </c>
      <c r="O38" s="43">
        <f t="shared" si="5"/>
        <v>64467.935037593983</v>
      </c>
      <c r="P38" s="45">
        <f t="shared" si="6"/>
        <v>110.83333333333334</v>
      </c>
    </row>
    <row r="39" spans="4:16" x14ac:dyDescent="0.25">
      <c r="D39" s="32">
        <v>26</v>
      </c>
      <c r="E39" s="5">
        <v>6750</v>
      </c>
      <c r="F39" s="4">
        <f t="shared" si="10"/>
        <v>8888.8888888888887</v>
      </c>
      <c r="G39" s="4">
        <f t="shared" si="2"/>
        <v>555.55555555555554</v>
      </c>
      <c r="H39" s="4">
        <f>G39-G65</f>
        <v>206.71834625322998</v>
      </c>
      <c r="I39" s="16">
        <f t="shared" si="3"/>
        <v>0</v>
      </c>
      <c r="J39" s="14">
        <f t="shared" si="11"/>
        <v>25.839793281653748</v>
      </c>
      <c r="K39" s="5">
        <v>17.5</v>
      </c>
      <c r="L39" s="2">
        <f t="shared" si="1"/>
        <v>24.693333333333332</v>
      </c>
      <c r="M39" s="13">
        <f>B3-K39</f>
        <v>47.5</v>
      </c>
      <c r="N39" s="6">
        <f t="shared" si="4"/>
        <v>1172.9333333333332</v>
      </c>
      <c r="O39" s="43">
        <f t="shared" si="5"/>
        <v>64483.066666666666</v>
      </c>
      <c r="P39" s="45">
        <f t="shared" si="6"/>
        <v>112.5</v>
      </c>
    </row>
    <row r="40" spans="4:16" x14ac:dyDescent="0.25">
      <c r="D40" s="32">
        <v>25</v>
      </c>
      <c r="E40" s="5">
        <v>6830</v>
      </c>
      <c r="F40" s="4">
        <f t="shared" si="10"/>
        <v>8784.7730600292834</v>
      </c>
      <c r="G40" s="4">
        <f t="shared" si="2"/>
        <v>549.04831625183022</v>
      </c>
      <c r="H40" s="4">
        <f>G40-G65</f>
        <v>200.21110694950465</v>
      </c>
      <c r="I40" s="16">
        <f t="shared" si="3"/>
        <v>0</v>
      </c>
      <c r="J40" s="14">
        <f t="shared" si="11"/>
        <v>25.026388368688082</v>
      </c>
      <c r="K40" s="5">
        <v>17.3</v>
      </c>
      <c r="L40" s="2">
        <f t="shared" si="1"/>
        <v>24.404099560761345</v>
      </c>
      <c r="M40" s="13">
        <f>B3-K40</f>
        <v>47.7</v>
      </c>
      <c r="N40" s="6">
        <f t="shared" si="4"/>
        <v>1164.0755490483161</v>
      </c>
      <c r="O40" s="43">
        <f t="shared" si="5"/>
        <v>64491.924450951687</v>
      </c>
      <c r="P40" s="45">
        <f t="shared" si="6"/>
        <v>113.83333333333333</v>
      </c>
    </row>
    <row r="41" spans="4:16" x14ac:dyDescent="0.25">
      <c r="D41" s="32">
        <v>24</v>
      </c>
      <c r="E41" s="5">
        <v>6910</v>
      </c>
      <c r="F41" s="4">
        <f t="shared" si="10"/>
        <v>8683.0680173661367</v>
      </c>
      <c r="G41" s="4">
        <f t="shared" si="2"/>
        <v>542.69175108538354</v>
      </c>
      <c r="H41" s="4">
        <f>G41-G65</f>
        <v>193.85454178305798</v>
      </c>
      <c r="I41" s="16">
        <f t="shared" si="3"/>
        <v>0</v>
      </c>
      <c r="J41" s="14">
        <f t="shared" si="11"/>
        <v>24.231817722882248</v>
      </c>
      <c r="K41" s="5">
        <v>17.100000000000001</v>
      </c>
      <c r="L41" s="2">
        <f t="shared" si="1"/>
        <v>24.121562952243124</v>
      </c>
      <c r="M41" s="13">
        <f>B3-K41</f>
        <v>47.9</v>
      </c>
      <c r="N41" s="6">
        <f t="shared" si="4"/>
        <v>1155.4228654124456</v>
      </c>
      <c r="O41" s="43">
        <f t="shared" si="5"/>
        <v>64500.577134587555</v>
      </c>
      <c r="P41" s="45">
        <f t="shared" si="6"/>
        <v>115.16666666666666</v>
      </c>
    </row>
    <row r="42" spans="4:16" x14ac:dyDescent="0.25">
      <c r="D42" s="32">
        <v>23</v>
      </c>
      <c r="E42" s="5">
        <v>7000</v>
      </c>
      <c r="F42" s="4">
        <f t="shared" si="10"/>
        <v>8571.4285714285706</v>
      </c>
      <c r="G42" s="4">
        <f t="shared" si="2"/>
        <v>535.71428571428567</v>
      </c>
      <c r="H42" s="4">
        <f>G42-G65</f>
        <v>186.8770764119601</v>
      </c>
      <c r="I42" s="16">
        <f t="shared" si="3"/>
        <v>0</v>
      </c>
      <c r="J42" s="14">
        <f t="shared" si="11"/>
        <v>23.359634551495013</v>
      </c>
      <c r="K42" s="5">
        <v>16.899999999999999</v>
      </c>
      <c r="L42" s="2">
        <f t="shared" si="1"/>
        <v>23.811428571428568</v>
      </c>
      <c r="M42" s="13">
        <f>B3-K42</f>
        <v>48.1</v>
      </c>
      <c r="N42" s="6">
        <f t="shared" si="4"/>
        <v>1145.3297142857141</v>
      </c>
      <c r="O42" s="43">
        <f t="shared" si="5"/>
        <v>64510.670285714288</v>
      </c>
      <c r="P42" s="45">
        <f t="shared" si="6"/>
        <v>116.66666666666667</v>
      </c>
    </row>
    <row r="43" spans="4:16" x14ac:dyDescent="0.25">
      <c r="D43" s="32">
        <v>22</v>
      </c>
      <c r="E43" s="5">
        <v>7125</v>
      </c>
      <c r="F43" s="4">
        <f t="shared" si="10"/>
        <v>8421.0526315789466</v>
      </c>
      <c r="G43" s="4">
        <f t="shared" si="2"/>
        <v>526.31578947368416</v>
      </c>
      <c r="H43" s="4">
        <f>G43-G65</f>
        <v>177.4785801713586</v>
      </c>
      <c r="I43" s="16">
        <f t="shared" si="3"/>
        <v>0</v>
      </c>
      <c r="J43" s="14">
        <f t="shared" si="11"/>
        <v>22.184822521419825</v>
      </c>
      <c r="K43" s="5">
        <v>16.7</v>
      </c>
      <c r="L43" s="2">
        <f t="shared" si="1"/>
        <v>23.393684210526313</v>
      </c>
      <c r="M43" s="13">
        <f>B3-K43</f>
        <v>48.3</v>
      </c>
      <c r="N43" s="6">
        <f t="shared" si="4"/>
        <v>1129.9149473684208</v>
      </c>
      <c r="O43" s="43">
        <f t="shared" si="5"/>
        <v>64526.085052631577</v>
      </c>
      <c r="P43" s="45">
        <f t="shared" si="6"/>
        <v>118.75000000000001</v>
      </c>
    </row>
    <row r="44" spans="4:16" x14ac:dyDescent="0.25">
      <c r="D44" s="32">
        <v>21</v>
      </c>
      <c r="E44" s="5">
        <v>7250</v>
      </c>
      <c r="F44" s="4">
        <f t="shared" si="10"/>
        <v>8275.8620689655181</v>
      </c>
      <c r="G44" s="4">
        <f t="shared" si="2"/>
        <v>517.24137931034488</v>
      </c>
      <c r="H44" s="4">
        <f>G44-G65</f>
        <v>168.40417000801932</v>
      </c>
      <c r="I44" s="16">
        <f t="shared" si="3"/>
        <v>0</v>
      </c>
      <c r="J44" s="14">
        <f t="shared" si="11"/>
        <v>21.050521251002415</v>
      </c>
      <c r="K44" s="5">
        <v>16.5</v>
      </c>
      <c r="L44" s="2">
        <f t="shared" si="1"/>
        <v>22.99034482758621</v>
      </c>
      <c r="M44" s="13">
        <f>B3-K44</f>
        <v>48.5</v>
      </c>
      <c r="N44" s="6">
        <f t="shared" si="4"/>
        <v>1115.0317241379312</v>
      </c>
      <c r="O44" s="43">
        <f t="shared" si="5"/>
        <v>64540.968275862069</v>
      </c>
      <c r="P44" s="45">
        <f t="shared" si="6"/>
        <v>120.83333333333331</v>
      </c>
    </row>
    <row r="45" spans="4:16" x14ac:dyDescent="0.25">
      <c r="D45" s="32">
        <v>20</v>
      </c>
      <c r="E45" s="5">
        <v>7375</v>
      </c>
      <c r="F45" s="4">
        <f t="shared" si="10"/>
        <v>8135.593220338983</v>
      </c>
      <c r="G45" s="4">
        <f t="shared" si="2"/>
        <v>508.47457627118644</v>
      </c>
      <c r="H45" s="4">
        <f>G45-G65</f>
        <v>159.63736696886087</v>
      </c>
      <c r="I45" s="16">
        <f t="shared" si="3"/>
        <v>0</v>
      </c>
      <c r="J45" s="14">
        <f t="shared" si="11"/>
        <v>19.954670871107609</v>
      </c>
      <c r="K45" s="5">
        <v>16.3</v>
      </c>
      <c r="L45" s="2">
        <f t="shared" si="1"/>
        <v>22.600677966101692</v>
      </c>
      <c r="M45" s="13">
        <f>B3-K45</f>
        <v>48.7</v>
      </c>
      <c r="N45" s="6">
        <f t="shared" si="4"/>
        <v>1100.6530169491525</v>
      </c>
      <c r="O45" s="43">
        <f t="shared" si="5"/>
        <v>64555.346983050847</v>
      </c>
      <c r="P45" s="45">
        <f t="shared" si="6"/>
        <v>122.91666666666667</v>
      </c>
    </row>
    <row r="46" spans="4:16" x14ac:dyDescent="0.25">
      <c r="D46" s="32">
        <v>19</v>
      </c>
      <c r="E46" s="5">
        <v>7500</v>
      </c>
      <c r="F46" s="4">
        <f t="shared" si="10"/>
        <v>8000</v>
      </c>
      <c r="G46" s="4">
        <f t="shared" si="2"/>
        <v>500</v>
      </c>
      <c r="H46" s="4">
        <f>G46-G65</f>
        <v>151.16279069767444</v>
      </c>
      <c r="I46" s="16">
        <f t="shared" si="3"/>
        <v>0</v>
      </c>
      <c r="J46" s="14">
        <f t="shared" si="11"/>
        <v>18.895348837209305</v>
      </c>
      <c r="K46" s="5">
        <v>16.100000000000001</v>
      </c>
      <c r="L46" s="2">
        <f t="shared" si="1"/>
        <v>22.224</v>
      </c>
      <c r="M46" s="13">
        <f>B3-K46</f>
        <v>48.9</v>
      </c>
      <c r="N46" s="6">
        <f t="shared" si="4"/>
        <v>1086.7536</v>
      </c>
      <c r="O46" s="43">
        <f t="shared" si="5"/>
        <v>64569.246400000004</v>
      </c>
      <c r="P46" s="45">
        <f t="shared" si="6"/>
        <v>125</v>
      </c>
    </row>
    <row r="47" spans="4:16" x14ac:dyDescent="0.25">
      <c r="D47" s="32">
        <v>18</v>
      </c>
      <c r="E47" s="5">
        <v>7625</v>
      </c>
      <c r="F47" s="4">
        <f t="shared" si="10"/>
        <v>7868.8524590163934</v>
      </c>
      <c r="G47" s="4">
        <f t="shared" si="2"/>
        <v>491.80327868852459</v>
      </c>
      <c r="H47" s="4">
        <f>G47-G65</f>
        <v>142.96606938619902</v>
      </c>
      <c r="I47" s="16">
        <f t="shared" si="3"/>
        <v>0</v>
      </c>
      <c r="J47" s="14">
        <f t="shared" si="11"/>
        <v>17.870758673274878</v>
      </c>
      <c r="K47" s="5">
        <v>15.9</v>
      </c>
      <c r="L47" s="2">
        <f t="shared" si="1"/>
        <v>21.859672131147541</v>
      </c>
      <c r="M47" s="13">
        <f>B3-K47</f>
        <v>49.1</v>
      </c>
      <c r="N47" s="6">
        <f t="shared" si="4"/>
        <v>1073.3099016393442</v>
      </c>
      <c r="O47" s="43">
        <f t="shared" si="5"/>
        <v>64582.690098360654</v>
      </c>
      <c r="P47" s="45">
        <f t="shared" si="6"/>
        <v>127.08333333333333</v>
      </c>
    </row>
    <row r="48" spans="4:16" x14ac:dyDescent="0.25">
      <c r="D48" s="32">
        <v>17</v>
      </c>
      <c r="E48" s="5">
        <v>7750</v>
      </c>
      <c r="F48" s="4">
        <f t="shared" si="10"/>
        <v>7741.9354838709678</v>
      </c>
      <c r="G48" s="4">
        <f t="shared" si="2"/>
        <v>483.87096774193549</v>
      </c>
      <c r="H48" s="4">
        <f>G48-G65</f>
        <v>135.03375843960993</v>
      </c>
      <c r="I48" s="16">
        <f t="shared" si="3"/>
        <v>0</v>
      </c>
      <c r="J48" s="14">
        <f t="shared" si="11"/>
        <v>16.879219804951241</v>
      </c>
      <c r="K48" s="5">
        <v>15.6</v>
      </c>
      <c r="L48" s="2">
        <f t="shared" si="1"/>
        <v>21.507096774193545</v>
      </c>
      <c r="M48" s="13">
        <f>B3-K48</f>
        <v>49.4</v>
      </c>
      <c r="N48" s="6">
        <f t="shared" si="4"/>
        <v>1062.4505806451612</v>
      </c>
      <c r="O48" s="43">
        <f t="shared" si="5"/>
        <v>64593.549419354837</v>
      </c>
      <c r="P48" s="45">
        <f t="shared" si="6"/>
        <v>129.16666666666666</v>
      </c>
    </row>
    <row r="49" spans="4:16" x14ac:dyDescent="0.25">
      <c r="D49" s="32">
        <v>16</v>
      </c>
      <c r="E49" s="5">
        <v>7815</v>
      </c>
      <c r="F49" s="4">
        <f t="shared" si="10"/>
        <v>7677.5431861804227</v>
      </c>
      <c r="G49" s="4">
        <f t="shared" si="2"/>
        <v>479.84644913627642</v>
      </c>
      <c r="H49" s="4">
        <f>G49-G65</f>
        <v>131.00923983395086</v>
      </c>
      <c r="I49" s="16">
        <f t="shared" si="3"/>
        <v>0</v>
      </c>
      <c r="J49" s="14">
        <f t="shared" si="11"/>
        <v>16.376154979243857</v>
      </c>
      <c r="K49" s="5">
        <v>15.3</v>
      </c>
      <c r="L49" s="2">
        <f t="shared" si="1"/>
        <v>21.328214971209214</v>
      </c>
      <c r="M49" s="13">
        <f>B3-K49</f>
        <v>49.7</v>
      </c>
      <c r="N49" s="6">
        <f t="shared" si="4"/>
        <v>1060.0122840690979</v>
      </c>
      <c r="O49" s="43">
        <f t="shared" si="5"/>
        <v>64595.987715930904</v>
      </c>
      <c r="P49" s="45">
        <f t="shared" si="6"/>
        <v>130.25</v>
      </c>
    </row>
    <row r="50" spans="4:16" x14ac:dyDescent="0.25">
      <c r="D50" s="32">
        <v>15</v>
      </c>
      <c r="E50" s="5">
        <v>8000</v>
      </c>
      <c r="F50" s="4">
        <f t="shared" si="10"/>
        <v>7500</v>
      </c>
      <c r="G50" s="4">
        <f t="shared" si="2"/>
        <v>468.75</v>
      </c>
      <c r="H50" s="4">
        <f>G50-G65</f>
        <v>119.91279069767444</v>
      </c>
      <c r="I50" s="16">
        <f t="shared" si="3"/>
        <v>0</v>
      </c>
      <c r="J50" s="14">
        <f t="shared" si="11"/>
        <v>14.989098837209305</v>
      </c>
      <c r="K50" s="5">
        <v>15</v>
      </c>
      <c r="L50" s="2">
        <f t="shared" si="1"/>
        <v>20.835000000000001</v>
      </c>
      <c r="M50" s="13">
        <f>B3-K50</f>
        <v>50</v>
      </c>
      <c r="N50" s="6">
        <f t="shared" si="4"/>
        <v>1041.75</v>
      </c>
      <c r="O50" s="43">
        <f t="shared" si="5"/>
        <v>64614.25</v>
      </c>
      <c r="P50" s="45">
        <f t="shared" si="6"/>
        <v>133.33333333333334</v>
      </c>
    </row>
    <row r="51" spans="4:16" x14ac:dyDescent="0.25">
      <c r="D51" s="32">
        <v>14</v>
      </c>
      <c r="E51" s="5">
        <v>8125</v>
      </c>
      <c r="F51" s="4">
        <f t="shared" si="10"/>
        <v>7384.6153846153848</v>
      </c>
      <c r="G51" s="4">
        <f t="shared" si="2"/>
        <v>461.53846153846155</v>
      </c>
      <c r="H51" s="4">
        <f>G51-G65</f>
        <v>112.70125223613599</v>
      </c>
      <c r="I51" s="16">
        <f t="shared" si="3"/>
        <v>0</v>
      </c>
      <c r="J51" s="14">
        <f t="shared" si="11"/>
        <v>14.087656529516998</v>
      </c>
      <c r="K51" s="5">
        <v>14.6</v>
      </c>
      <c r="L51" s="2">
        <f t="shared" si="1"/>
        <v>20.514461538461536</v>
      </c>
      <c r="M51" s="13">
        <f>B3-K51</f>
        <v>50.4</v>
      </c>
      <c r="N51" s="6">
        <f t="shared" si="4"/>
        <v>1033.9288615384614</v>
      </c>
      <c r="O51" s="43">
        <f t="shared" si="5"/>
        <v>64622.071138461535</v>
      </c>
      <c r="P51" s="45">
        <f t="shared" si="6"/>
        <v>135.41666666666666</v>
      </c>
    </row>
    <row r="52" spans="4:16" x14ac:dyDescent="0.25">
      <c r="D52" s="32">
        <v>13</v>
      </c>
      <c r="E52" s="5">
        <v>8250</v>
      </c>
      <c r="F52" s="4">
        <f t="shared" si="10"/>
        <v>7272.727272727273</v>
      </c>
      <c r="G52" s="4">
        <f t="shared" si="2"/>
        <v>454.54545454545456</v>
      </c>
      <c r="H52" s="4">
        <f>G52-G65</f>
        <v>105.708245243129</v>
      </c>
      <c r="I52" s="16">
        <f t="shared" si="3"/>
        <v>0</v>
      </c>
      <c r="J52" s="14">
        <f t="shared" si="11"/>
        <v>13.213530655391125</v>
      </c>
      <c r="K52" s="5">
        <v>14.2</v>
      </c>
      <c r="L52" s="2">
        <f t="shared" si="1"/>
        <v>20.203636363636363</v>
      </c>
      <c r="M52" s="13">
        <f>B3-K52</f>
        <v>50.8</v>
      </c>
      <c r="N52" s="6">
        <f t="shared" si="4"/>
        <v>1026.3447272727271</v>
      </c>
      <c r="O52" s="43">
        <f t="shared" si="5"/>
        <v>64629.655272727272</v>
      </c>
      <c r="P52" s="45">
        <f t="shared" si="6"/>
        <v>137.5</v>
      </c>
    </row>
    <row r="53" spans="4:16" x14ac:dyDescent="0.25">
      <c r="D53" s="32">
        <v>12</v>
      </c>
      <c r="E53" s="5">
        <v>8500</v>
      </c>
      <c r="F53" s="4">
        <f t="shared" si="10"/>
        <v>7058.8235294117649</v>
      </c>
      <c r="G53" s="4">
        <f t="shared" si="2"/>
        <v>441.1764705882353</v>
      </c>
      <c r="H53" s="4">
        <f>G53-G65</f>
        <v>92.339261285909743</v>
      </c>
      <c r="I53" s="16">
        <f t="shared" si="3"/>
        <v>0</v>
      </c>
      <c r="J53" s="14">
        <f t="shared" si="11"/>
        <v>11.542407660738718</v>
      </c>
      <c r="K53" s="5">
        <v>13.8</v>
      </c>
      <c r="L53" s="2">
        <f t="shared" si="1"/>
        <v>19.609411764705882</v>
      </c>
      <c r="M53" s="13">
        <f>B3-K53</f>
        <v>51.2</v>
      </c>
      <c r="N53" s="6">
        <f t="shared" si="4"/>
        <v>1004.0018823529413</v>
      </c>
      <c r="O53" s="43">
        <f t="shared" si="5"/>
        <v>64651.998117647061</v>
      </c>
      <c r="P53" s="45">
        <f t="shared" si="6"/>
        <v>141.66666666666666</v>
      </c>
    </row>
    <row r="54" spans="4:16" x14ac:dyDescent="0.25">
      <c r="D54" s="32">
        <v>11</v>
      </c>
      <c r="E54" s="5">
        <v>8625</v>
      </c>
      <c r="F54" s="4">
        <f t="shared" si="10"/>
        <v>6956.521739130435</v>
      </c>
      <c r="G54" s="4">
        <f t="shared" si="2"/>
        <v>434.78260869565219</v>
      </c>
      <c r="H54" s="4">
        <f>G54-G65</f>
        <v>85.945399393326625</v>
      </c>
      <c r="I54" s="16">
        <f t="shared" si="3"/>
        <v>0</v>
      </c>
      <c r="J54" s="14">
        <f t="shared" si="11"/>
        <v>10.743174924165828</v>
      </c>
      <c r="K54" s="5">
        <v>13.5</v>
      </c>
      <c r="L54" s="2">
        <f t="shared" si="1"/>
        <v>19.325217391304349</v>
      </c>
      <c r="M54" s="13">
        <f>B3-K54</f>
        <v>51.5</v>
      </c>
      <c r="N54" s="6">
        <f t="shared" si="4"/>
        <v>995.24869565217398</v>
      </c>
      <c r="O54" s="43">
        <f t="shared" si="5"/>
        <v>64660.751304347825</v>
      </c>
      <c r="P54" s="45">
        <f t="shared" si="6"/>
        <v>143.75</v>
      </c>
    </row>
    <row r="55" spans="4:16" x14ac:dyDescent="0.25">
      <c r="D55" s="32">
        <v>10</v>
      </c>
      <c r="E55" s="5">
        <v>8750</v>
      </c>
      <c r="F55" s="4">
        <f t="shared" si="10"/>
        <v>6857.1428571428569</v>
      </c>
      <c r="G55" s="4">
        <f t="shared" si="2"/>
        <v>428.57142857142856</v>
      </c>
      <c r="H55" s="4">
        <f>G55-G65</f>
        <v>79.734219269102994</v>
      </c>
      <c r="I55" s="16">
        <f t="shared" si="3"/>
        <v>0</v>
      </c>
      <c r="J55" s="14">
        <f t="shared" si="11"/>
        <v>9.9667774086378742</v>
      </c>
      <c r="K55" s="5">
        <v>13.2</v>
      </c>
      <c r="L55" s="2">
        <f t="shared" si="1"/>
        <v>19.049142857142854</v>
      </c>
      <c r="M55" s="13">
        <f>B3-K55</f>
        <v>51.8</v>
      </c>
      <c r="N55" s="6">
        <f t="shared" si="4"/>
        <v>986.74559999999974</v>
      </c>
      <c r="O55" s="43">
        <f t="shared" si="5"/>
        <v>64669.254399999998</v>
      </c>
      <c r="P55" s="45">
        <f t="shared" si="6"/>
        <v>145.83333333333334</v>
      </c>
    </row>
    <row r="56" spans="4:16" x14ac:dyDescent="0.25">
      <c r="D56" s="32">
        <v>9</v>
      </c>
      <c r="E56" s="5">
        <v>8875</v>
      </c>
      <c r="F56" s="4">
        <f t="shared" si="10"/>
        <v>6760.5633802816901</v>
      </c>
      <c r="G56" s="4">
        <f t="shared" si="2"/>
        <v>422.53521126760563</v>
      </c>
      <c r="H56" s="4">
        <f>G56-G65</f>
        <v>73.698001965280071</v>
      </c>
      <c r="I56" s="16">
        <f t="shared" si="3"/>
        <v>0</v>
      </c>
      <c r="J56" s="14">
        <f t="shared" si="11"/>
        <v>9.2122502456600088</v>
      </c>
      <c r="K56" s="5">
        <v>12.4</v>
      </c>
      <c r="L56" s="2">
        <f t="shared" si="1"/>
        <v>18.780845070422536</v>
      </c>
      <c r="M56" s="13">
        <f>B3-K56</f>
        <v>52.6</v>
      </c>
      <c r="N56" s="6">
        <f t="shared" si="4"/>
        <v>987.87245070422546</v>
      </c>
      <c r="O56" s="43">
        <f t="shared" si="5"/>
        <v>64668.127549295772</v>
      </c>
      <c r="P56" s="45">
        <f t="shared" si="6"/>
        <v>147.91666666666666</v>
      </c>
    </row>
    <row r="57" spans="4:16" x14ac:dyDescent="0.25">
      <c r="D57" s="32">
        <v>8</v>
      </c>
      <c r="E57" s="5">
        <v>9000</v>
      </c>
      <c r="F57" s="4">
        <f t="shared" si="10"/>
        <v>6666.666666666667</v>
      </c>
      <c r="G57" s="4">
        <f t="shared" si="2"/>
        <v>416.66666666666669</v>
      </c>
      <c r="H57" s="4">
        <f>G57-G65</f>
        <v>67.829457364341124</v>
      </c>
      <c r="I57" s="16">
        <f t="shared" si="3"/>
        <v>0</v>
      </c>
      <c r="J57" s="14">
        <f t="shared" si="11"/>
        <v>8.4786821705426405</v>
      </c>
      <c r="K57" s="5">
        <v>11.5</v>
      </c>
      <c r="L57" s="2">
        <f t="shared" si="1"/>
        <v>18.52</v>
      </c>
      <c r="M57" s="13">
        <f>B3-K57</f>
        <v>53.5</v>
      </c>
      <c r="N57" s="6">
        <f t="shared" si="4"/>
        <v>990.81999999999994</v>
      </c>
      <c r="O57" s="43">
        <f t="shared" si="5"/>
        <v>64665.18</v>
      </c>
      <c r="P57" s="45">
        <f t="shared" si="6"/>
        <v>150</v>
      </c>
    </row>
    <row r="58" spans="4:16" x14ac:dyDescent="0.25">
      <c r="D58" s="32">
        <v>7</v>
      </c>
      <c r="E58" s="5">
        <v>9250</v>
      </c>
      <c r="F58" s="4">
        <f t="shared" si="10"/>
        <v>6486.4864864864867</v>
      </c>
      <c r="G58" s="4">
        <f t="shared" si="2"/>
        <v>405.40540540540542</v>
      </c>
      <c r="H58" s="4">
        <f>G58-G65</f>
        <v>56.568196103079856</v>
      </c>
      <c r="I58" s="16">
        <f t="shared" si="3"/>
        <v>0</v>
      </c>
      <c r="J58" s="14">
        <f t="shared" si="11"/>
        <v>7.071024512884982</v>
      </c>
      <c r="K58" s="5">
        <v>10.5</v>
      </c>
      <c r="L58" s="2">
        <f t="shared" si="1"/>
        <v>18.019459459459462</v>
      </c>
      <c r="M58" s="13">
        <f>B3-K58</f>
        <v>54.5</v>
      </c>
      <c r="N58" s="6">
        <f t="shared" si="4"/>
        <v>982.06054054054073</v>
      </c>
      <c r="O58" s="43">
        <f t="shared" si="5"/>
        <v>64673.939459459456</v>
      </c>
      <c r="P58" s="45">
        <f t="shared" si="6"/>
        <v>154.16666666666666</v>
      </c>
    </row>
    <row r="59" spans="4:16" x14ac:dyDescent="0.25">
      <c r="D59" s="32">
        <v>6</v>
      </c>
      <c r="E59" s="5">
        <v>9500</v>
      </c>
      <c r="F59" s="4">
        <f t="shared" si="10"/>
        <v>6315.7894736842109</v>
      </c>
      <c r="G59" s="4">
        <f t="shared" si="2"/>
        <v>394.73684210526318</v>
      </c>
      <c r="H59" s="4">
        <f>G59-G65</f>
        <v>45.899632802937617</v>
      </c>
      <c r="I59" s="16">
        <f t="shared" si="3"/>
        <v>0</v>
      </c>
      <c r="J59" s="14">
        <f t="shared" si="11"/>
        <v>5.7374541003672022</v>
      </c>
      <c r="K59" s="5">
        <v>9.6</v>
      </c>
      <c r="L59" s="2">
        <f t="shared" si="1"/>
        <v>17.545263157894738</v>
      </c>
      <c r="M59" s="13">
        <f>B3-K59</f>
        <v>55.4</v>
      </c>
      <c r="N59" s="6">
        <f t="shared" si="4"/>
        <v>972.00757894736842</v>
      </c>
      <c r="O59" s="43">
        <f t="shared" si="5"/>
        <v>64683.99242105263</v>
      </c>
      <c r="P59" s="45">
        <f t="shared" si="6"/>
        <v>158.33333333333331</v>
      </c>
    </row>
    <row r="60" spans="4:16" x14ac:dyDescent="0.25">
      <c r="D60" s="32">
        <v>5</v>
      </c>
      <c r="E60" s="5">
        <v>9625</v>
      </c>
      <c r="F60" s="4">
        <f t="shared" si="10"/>
        <v>6233.7662337662341</v>
      </c>
      <c r="G60" s="4">
        <f t="shared" si="2"/>
        <v>389.61038961038963</v>
      </c>
      <c r="H60" s="4">
        <f>G60-G65</f>
        <v>40.77318030806407</v>
      </c>
      <c r="I60" s="16">
        <f t="shared" si="3"/>
        <v>0</v>
      </c>
      <c r="J60" s="14">
        <f t="shared" si="11"/>
        <v>5.0966475385080088</v>
      </c>
      <c r="K60" s="5">
        <v>8.6999999999999993</v>
      </c>
      <c r="L60" s="2">
        <f t="shared" si="1"/>
        <v>17.317402597402598</v>
      </c>
      <c r="M60" s="13">
        <f>B3-K60</f>
        <v>56.3</v>
      </c>
      <c r="N60" s="6">
        <f t="shared" si="4"/>
        <v>974.96976623376622</v>
      </c>
      <c r="O60" s="43">
        <f t="shared" si="5"/>
        <v>64681.030233766236</v>
      </c>
      <c r="P60" s="45">
        <f t="shared" si="6"/>
        <v>160.41666666666666</v>
      </c>
    </row>
    <row r="61" spans="4:16" x14ac:dyDescent="0.25">
      <c r="D61" s="32">
        <v>4</v>
      </c>
      <c r="E61" s="5">
        <v>9750</v>
      </c>
      <c r="F61" s="4">
        <f t="shared" si="10"/>
        <v>6153.8461538461543</v>
      </c>
      <c r="G61" s="4">
        <f t="shared" si="2"/>
        <v>384.61538461538464</v>
      </c>
      <c r="H61" s="4">
        <f>G61-G65</f>
        <v>35.77817531305908</v>
      </c>
      <c r="I61" s="16">
        <f t="shared" si="3"/>
        <v>0</v>
      </c>
      <c r="J61" s="14">
        <f t="shared" si="11"/>
        <v>4.472271914132385</v>
      </c>
      <c r="K61" s="5">
        <v>7.65</v>
      </c>
      <c r="L61" s="2">
        <f t="shared" si="1"/>
        <v>17.095384615384617</v>
      </c>
      <c r="M61" s="13">
        <f>B3-K61</f>
        <v>57.35</v>
      </c>
      <c r="N61" s="6">
        <f t="shared" si="4"/>
        <v>980.4203076923078</v>
      </c>
      <c r="O61" s="43">
        <f t="shared" si="5"/>
        <v>64675.579692307692</v>
      </c>
      <c r="P61" s="45">
        <f t="shared" si="6"/>
        <v>162.5</v>
      </c>
    </row>
    <row r="62" spans="4:16" x14ac:dyDescent="0.25">
      <c r="D62" s="32">
        <v>3</v>
      </c>
      <c r="E62" s="5">
        <v>10000</v>
      </c>
      <c r="F62" s="4">
        <f t="shared" si="10"/>
        <v>6000</v>
      </c>
      <c r="G62" s="4">
        <f t="shared" si="2"/>
        <v>375</v>
      </c>
      <c r="H62" s="4">
        <f>G62-G65</f>
        <v>26.162790697674438</v>
      </c>
      <c r="I62" s="16">
        <f t="shared" si="3"/>
        <v>0</v>
      </c>
      <c r="J62" s="14">
        <f t="shared" si="11"/>
        <v>3.2703488372093048</v>
      </c>
      <c r="K62" s="5">
        <v>6.5</v>
      </c>
      <c r="L62" s="2">
        <f t="shared" si="1"/>
        <v>16.667999999999999</v>
      </c>
      <c r="M62" s="13">
        <f>B3-K62</f>
        <v>58.5</v>
      </c>
      <c r="N62" s="6">
        <f t="shared" si="4"/>
        <v>975.07799999999997</v>
      </c>
      <c r="O62" s="43">
        <f t="shared" si="5"/>
        <v>64680.921999999999</v>
      </c>
      <c r="P62" s="45">
        <f t="shared" si="6"/>
        <v>166.66666666666666</v>
      </c>
    </row>
    <row r="63" spans="4:16" x14ac:dyDescent="0.25">
      <c r="D63" s="32">
        <v>2</v>
      </c>
      <c r="E63" s="5">
        <v>10250</v>
      </c>
      <c r="F63" s="4">
        <f t="shared" si="10"/>
        <v>5853.6585365853662</v>
      </c>
      <c r="G63" s="4">
        <f t="shared" si="2"/>
        <v>365.85365853658539</v>
      </c>
      <c r="H63" s="4">
        <f>G63-G65</f>
        <v>17.016449234259824</v>
      </c>
      <c r="I63" s="16">
        <f t="shared" si="3"/>
        <v>0</v>
      </c>
      <c r="J63" s="14">
        <f t="shared" si="11"/>
        <v>2.127056154282478</v>
      </c>
      <c r="K63" s="5">
        <v>5.4</v>
      </c>
      <c r="L63" s="2">
        <f t="shared" si="1"/>
        <v>16.261463414634147</v>
      </c>
      <c r="M63" s="13">
        <f>B3-K63</f>
        <v>59.6</v>
      </c>
      <c r="N63" s="6">
        <f t="shared" si="4"/>
        <v>969.18321951219514</v>
      </c>
      <c r="O63" s="43">
        <f t="shared" si="5"/>
        <v>64686.816780487803</v>
      </c>
      <c r="P63" s="45">
        <f t="shared" si="6"/>
        <v>170.83333333333331</v>
      </c>
    </row>
    <row r="64" spans="4:16" x14ac:dyDescent="0.25">
      <c r="D64" s="32">
        <v>1</v>
      </c>
      <c r="E64" s="5">
        <v>10500</v>
      </c>
      <c r="F64" s="4">
        <f t="shared" si="10"/>
        <v>5714.2857142857147</v>
      </c>
      <c r="G64" s="4">
        <f t="shared" si="2"/>
        <v>357.14285714285717</v>
      </c>
      <c r="H64" s="4">
        <f>G64-G65</f>
        <v>8.3056478405316057</v>
      </c>
      <c r="I64" s="16">
        <f t="shared" si="3"/>
        <v>0</v>
      </c>
      <c r="J64" s="14">
        <f t="shared" si="11"/>
        <v>1.0382059800664507</v>
      </c>
      <c r="K64" s="5">
        <v>5</v>
      </c>
      <c r="L64" s="2">
        <f t="shared" si="1"/>
        <v>15.874285714285715</v>
      </c>
      <c r="M64" s="13">
        <f>B3-K64</f>
        <v>60</v>
      </c>
      <c r="N64" s="6">
        <f t="shared" si="4"/>
        <v>952.45714285714291</v>
      </c>
      <c r="O64" s="43">
        <f t="shared" si="5"/>
        <v>64703.542857142857</v>
      </c>
      <c r="P64" s="45">
        <f t="shared" si="6"/>
        <v>175</v>
      </c>
    </row>
    <row r="65" spans="4:16" x14ac:dyDescent="0.25">
      <c r="D65" s="34">
        <v>0</v>
      </c>
      <c r="E65" s="18">
        <v>10750</v>
      </c>
      <c r="F65" s="24">
        <f t="shared" si="10"/>
        <v>5581.395348837209</v>
      </c>
      <c r="G65" s="29">
        <f t="shared" si="2"/>
        <v>348.83720930232556</v>
      </c>
      <c r="H65" s="28">
        <f>G65-G65</f>
        <v>0</v>
      </c>
      <c r="I65" s="25">
        <f t="shared" si="3"/>
        <v>0</v>
      </c>
      <c r="J65" s="26">
        <f t="shared" si="11"/>
        <v>0</v>
      </c>
      <c r="K65" s="18">
        <v>5</v>
      </c>
      <c r="L65" s="36">
        <f t="shared" si="1"/>
        <v>15.505116279069766</v>
      </c>
      <c r="M65" s="37">
        <f>B3-K65</f>
        <v>60</v>
      </c>
      <c r="N65" s="23">
        <f t="shared" si="4"/>
        <v>930.30697674418593</v>
      </c>
      <c r="O65" s="44">
        <f t="shared" si="5"/>
        <v>64725.693023255815</v>
      </c>
      <c r="P65" s="45">
        <f t="shared" si="6"/>
        <v>179.16666666666669</v>
      </c>
    </row>
    <row r="66" spans="4:16" x14ac:dyDescent="0.25">
      <c r="E66" s="5">
        <v>11000</v>
      </c>
      <c r="F66" s="4">
        <f t="shared" si="10"/>
        <v>5454.545454545455</v>
      </c>
      <c r="G66" s="4">
        <f t="shared" si="2"/>
        <v>340.90909090909093</v>
      </c>
      <c r="H66" s="27">
        <f>G66-G65</f>
        <v>-7.9281183932346266</v>
      </c>
      <c r="I66" s="38">
        <f t="shared" si="3"/>
        <v>0</v>
      </c>
      <c r="J66" s="39">
        <v>0</v>
      </c>
      <c r="K66" s="5">
        <v>5</v>
      </c>
      <c r="L66" s="2">
        <v>14.5</v>
      </c>
      <c r="M66" s="17">
        <f>B3-K66</f>
        <v>60</v>
      </c>
      <c r="N66" s="40">
        <f t="shared" si="4"/>
        <v>870</v>
      </c>
      <c r="O66" s="27">
        <f t="shared" si="5"/>
        <v>64786</v>
      </c>
      <c r="P66" s="45">
        <f t="shared" si="6"/>
        <v>183.33333333333331</v>
      </c>
    </row>
    <row r="67" spans="4:16" x14ac:dyDescent="0.25">
      <c r="E67" s="5">
        <v>11250</v>
      </c>
      <c r="F67" s="4">
        <f t="shared" si="10"/>
        <v>5333.333333333333</v>
      </c>
      <c r="G67" s="4">
        <f t="shared" si="2"/>
        <v>333.33333333333331</v>
      </c>
      <c r="H67" s="27">
        <f>G67-G65</f>
        <v>-15.503875968992247</v>
      </c>
      <c r="I67" s="38">
        <f t="shared" si="3"/>
        <v>0</v>
      </c>
      <c r="J67" s="39">
        <v>0</v>
      </c>
      <c r="K67" s="5">
        <v>5</v>
      </c>
      <c r="L67" s="2">
        <v>14.5</v>
      </c>
      <c r="M67" s="17">
        <f>B3-K67</f>
        <v>60</v>
      </c>
      <c r="N67" s="40">
        <f t="shared" ref="N67:N70" si="12">M67*L67</f>
        <v>870</v>
      </c>
      <c r="O67" s="27">
        <f t="shared" ref="O67:O70" si="13">65536-N67+120</f>
        <v>64786</v>
      </c>
      <c r="P67" s="45">
        <f t="shared" ref="P67:P70" si="14">1000000/F67</f>
        <v>187.5</v>
      </c>
    </row>
    <row r="68" spans="4:16" x14ac:dyDescent="0.25">
      <c r="E68" s="5">
        <v>11500</v>
      </c>
      <c r="F68" s="4">
        <f t="shared" si="10"/>
        <v>5217.391304347826</v>
      </c>
      <c r="G68" s="4">
        <f t="shared" si="2"/>
        <v>326.08695652173913</v>
      </c>
      <c r="H68" s="27">
        <f>G68-G65</f>
        <v>-22.750252780586436</v>
      </c>
      <c r="I68" s="38">
        <f t="shared" si="3"/>
        <v>0</v>
      </c>
      <c r="J68" s="39">
        <v>0</v>
      </c>
      <c r="K68" s="5">
        <v>5</v>
      </c>
      <c r="L68" s="2">
        <v>14.5</v>
      </c>
      <c r="M68" s="17">
        <f>B3-K68</f>
        <v>60</v>
      </c>
      <c r="N68" s="40">
        <f t="shared" si="12"/>
        <v>870</v>
      </c>
      <c r="O68" s="27">
        <f t="shared" si="13"/>
        <v>64786</v>
      </c>
      <c r="P68" s="45">
        <f t="shared" si="14"/>
        <v>191.66666666666666</v>
      </c>
    </row>
    <row r="69" spans="4:16" x14ac:dyDescent="0.25">
      <c r="E69" s="5">
        <v>11750</v>
      </c>
      <c r="F69" s="4">
        <f t="shared" si="10"/>
        <v>5106.3829787234044</v>
      </c>
      <c r="G69" s="4">
        <f t="shared" si="2"/>
        <v>319.14893617021278</v>
      </c>
      <c r="H69" s="27">
        <f>G69-G65</f>
        <v>-29.688273132112784</v>
      </c>
      <c r="I69" s="38">
        <f t="shared" si="3"/>
        <v>0</v>
      </c>
      <c r="J69" s="39">
        <v>0</v>
      </c>
      <c r="K69" s="5">
        <v>5</v>
      </c>
      <c r="L69" s="2">
        <v>14.5</v>
      </c>
      <c r="M69" s="17">
        <f>B3-K69</f>
        <v>60</v>
      </c>
      <c r="N69" s="40">
        <f t="shared" si="12"/>
        <v>870</v>
      </c>
      <c r="O69" s="27">
        <f t="shared" si="13"/>
        <v>64786</v>
      </c>
      <c r="P69" s="45">
        <f t="shared" si="14"/>
        <v>195.83333333333331</v>
      </c>
    </row>
    <row r="70" spans="4:16" x14ac:dyDescent="0.25">
      <c r="E70" s="5">
        <v>12000</v>
      </c>
      <c r="F70" s="4">
        <f t="shared" si="10"/>
        <v>5000</v>
      </c>
      <c r="G70" s="4">
        <f t="shared" si="2"/>
        <v>312.5</v>
      </c>
      <c r="H70" s="27">
        <f>G70-G65</f>
        <v>-36.337209302325562</v>
      </c>
      <c r="I70" s="38">
        <f t="shared" si="3"/>
        <v>0</v>
      </c>
      <c r="J70" s="39">
        <v>0</v>
      </c>
      <c r="K70" s="5">
        <v>5</v>
      </c>
      <c r="L70" s="2">
        <v>14.5</v>
      </c>
      <c r="M70" s="17">
        <f>B3-K70</f>
        <v>60</v>
      </c>
      <c r="N70" s="40">
        <f t="shared" si="12"/>
        <v>870</v>
      </c>
      <c r="O70" s="27">
        <f t="shared" si="13"/>
        <v>64786</v>
      </c>
      <c r="P70" s="45">
        <f t="shared" si="14"/>
        <v>200</v>
      </c>
    </row>
    <row r="71" spans="4:16" x14ac:dyDescent="0.25">
      <c r="F71" s="4"/>
      <c r="I71" s="2"/>
    </row>
    <row r="72" spans="4:16" x14ac:dyDescent="0.25">
      <c r="F72" s="4"/>
      <c r="I72" s="2"/>
    </row>
    <row r="73" spans="4:16" x14ac:dyDescent="0.25">
      <c r="F73" s="4"/>
      <c r="I73" s="2"/>
    </row>
    <row r="74" spans="4:16" x14ac:dyDescent="0.25">
      <c r="F74" s="4"/>
      <c r="I74" s="2"/>
    </row>
    <row r="75" spans="4:16" x14ac:dyDescent="0.25">
      <c r="F75" s="4"/>
      <c r="I75" s="2"/>
    </row>
    <row r="76" spans="4:16" x14ac:dyDescent="0.25">
      <c r="F76" s="4"/>
      <c r="I76" s="2"/>
    </row>
    <row r="77" spans="4:16" x14ac:dyDescent="0.25">
      <c r="F77" s="4"/>
      <c r="I77" s="2"/>
    </row>
    <row r="78" spans="4:16" x14ac:dyDescent="0.25">
      <c r="F78" s="4"/>
      <c r="I78" s="2"/>
    </row>
    <row r="79" spans="4:16" x14ac:dyDescent="0.25">
      <c r="F79" s="4"/>
      <c r="I79" s="2"/>
    </row>
    <row r="80" spans="4:16" x14ac:dyDescent="0.25">
      <c r="F80" s="4"/>
      <c r="I80" s="2"/>
    </row>
    <row r="81" spans="6:9" x14ac:dyDescent="0.25">
      <c r="F81" s="4"/>
      <c r="I81" s="2"/>
    </row>
    <row r="82" spans="6:9" x14ac:dyDescent="0.25">
      <c r="F82" s="4"/>
      <c r="I82" s="2"/>
    </row>
    <row r="83" spans="6:9" x14ac:dyDescent="0.25">
      <c r="F83" s="4"/>
      <c r="I83" s="2"/>
    </row>
    <row r="84" spans="6:9" x14ac:dyDescent="0.25">
      <c r="F84" s="4"/>
      <c r="I84" s="2"/>
    </row>
    <row r="85" spans="6:9" x14ac:dyDescent="0.25">
      <c r="F85" s="4"/>
      <c r="I85" s="2"/>
    </row>
    <row r="86" spans="6:9" x14ac:dyDescent="0.25">
      <c r="F86" s="4"/>
      <c r="I86" s="2"/>
    </row>
  </sheetData>
  <mergeCells count="1">
    <mergeCell ref="Q5:V9"/>
  </mergeCells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elay_tmr1">
                <anchor moveWithCells="1" sizeWithCells="1">
                  <from>
                    <xdr:col>17</xdr:col>
                    <xdr:colOff>38100</xdr:colOff>
                    <xdr:row>2</xdr:row>
                    <xdr:rowOff>38100</xdr:rowOff>
                  </from>
                  <to>
                    <xdr:col>21</xdr:col>
                    <xdr:colOff>47625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Пользователь Windows</cp:lastModifiedBy>
  <dcterms:created xsi:type="dcterms:W3CDTF">2019-11-18T08:16:27Z</dcterms:created>
  <dcterms:modified xsi:type="dcterms:W3CDTF">2019-12-09T09:25:12Z</dcterms:modified>
</cp:coreProperties>
</file>